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52693865859\Downloads\"/>
    </mc:Choice>
  </mc:AlternateContent>
  <xr:revisionPtr revIDLastSave="0" documentId="8_{27C5F211-A80B-4126-8FBD-AB0F3B19E286}" xr6:coauthVersionLast="36" xr6:coauthVersionMax="36" xr10:uidLastSave="{00000000-0000-0000-0000-000000000000}"/>
  <bookViews>
    <workbookView xWindow="0" yWindow="0" windowWidth="24000" windowHeight="9405" tabRatio="854" activeTab="3" xr2:uid="{00000000-000D-0000-FFFF-FFFF00000000}"/>
  </bookViews>
  <sheets>
    <sheet name="Project Charter" sheetId="16" r:id="rId1"/>
    <sheet name="WBS-MACRO-ATIVIDADE" sheetId="14" r:id="rId2"/>
    <sheet name="WBS_Detalhado (ordem etapas)" sheetId="1" r:id="rId3"/>
    <sheet name="WBS_Detalhado (ordem depend)" sheetId="13" r:id="rId4"/>
    <sheet name="Gráfico de Gantt" sheetId="18" state="hidden" r:id="rId5"/>
    <sheet name="PV_dependência" sheetId="17" state="hidden" r:id="rId6"/>
    <sheet name="Cronograma_de_Custos (2)" sheetId="6" state="hidden" r:id="rId7"/>
  </sheets>
  <externalReferences>
    <externalReference r:id="rId8"/>
    <externalReference r:id="rId9"/>
    <externalReference r:id="rId10"/>
  </externalReferences>
  <definedNames>
    <definedName name="A" hidden="1">{"'TG'!$A$1:$L$37"}</definedName>
    <definedName name="_xlnm.Print_Area" localSheetId="6">'Cronograma_de_Custos (2)'!$B$2:$X$18</definedName>
    <definedName name="Comprar">[1]Param!#REF!</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4">[2]CronogramaDeProjeto!$E1</definedName>
    <definedName name="Início_do_projeto">'Gráfico de Gantt'!$G$5</definedName>
    <definedName name="Periodicidade">[3]Param!$AB$5:$AB$9</definedName>
    <definedName name="progresso_da_tarefa" localSheetId="4">[2]CronogramaDeProjeto!$D1</definedName>
    <definedName name="Semana_de_exibição">'Gráfico de Gantt'!$G$6</definedName>
    <definedName name="Status">[1]Param!#REF!</definedName>
    <definedName name="t" hidden="1">{"'TG'!$A$1:$L$37"}</definedName>
    <definedName name="término_da_tarefa" localSheetId="4">[2]CronogramaDeProjeto!$F1</definedName>
    <definedName name="VersaoExcel">[3]Param!$D$15:$E$15</definedName>
    <definedName name="VersaoSR">[3]Param!$C$24:$C$26</definedName>
  </definedNames>
  <calcPr calcId="191029"/>
  <pivotCaches>
    <pivotCache cacheId="0" r:id="rId11"/>
  </pivotCaches>
</workbook>
</file>

<file path=xl/calcChain.xml><?xml version="1.0" encoding="utf-8"?>
<calcChain xmlns="http://schemas.openxmlformats.org/spreadsheetml/2006/main">
  <c r="I30" i="1" l="1"/>
  <c r="J35" i="18" l="1"/>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sharedStrings.xml><?xml version="1.0" encoding="utf-8"?>
<sst xmlns="http://schemas.openxmlformats.org/spreadsheetml/2006/main" count="715" uniqueCount="239">
  <si>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</si>
  <si>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</si>
  <si>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</si>
  <si>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</si>
  <si>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</si>
  <si>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</si>
  <si>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</si>
  <si>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</si>
  <si>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</si>
  <si>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</si>
  <si>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</si>
  <si>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</si>
  <si>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</si>
  <si>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</si>
  <si>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</si>
  <si>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</si>
  <si>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</si>
  <si>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</si>
  <si>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</si>
  <si>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</si>
  <si>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</si>
  <si>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</si>
  <si>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</si>
  <si>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</si>
  <si>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</si>
  <si>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</si>
  <si>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</si>
  <si>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</si>
  <si>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</si>
  <si>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</si>
  <si>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</si>
  <si>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</si>
  <si>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</si>
  <si>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</si>
  <si>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</si>
  <si>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</si>
  <si>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</si>
  <si>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</si>
  <si>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</si>
  <si>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</si>
  <si>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</si>
  <si>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</si>
  <si>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</si>
  <si>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</si>
  <si>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</si>
  <si>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</si>
  <si>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</si>
  <si>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</si>
  <si>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</si>
  <si>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</si>
  <si>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</si>
  <si>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</si>
  <si>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</si>
  <si>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</si>
  <si>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</si>
  <si>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</si>
  <si>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</si>
  <si>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</si>
  <si>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</si>
  <si>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</si>
  <si>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</si>
  <si>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</si>
  <si>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</si>
  <si>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</si>
  <si>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</si>
  <si>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</si>
  <si>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</si>
  <si>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</si>
  <si>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</si>
  <si>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</si>
  <si>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</si>
  <si>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</si>
  <si>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</si>
  <si>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</si>
  <si>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</si>
  <si>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</si>
  <si>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</si>
  <si>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</si>
  <si>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</si>
  <si>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</si>
  <si>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</si>
  <si>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</si>
  <si>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</si>
  <si>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</si>
  <si>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</si>
  <si>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</si>
  <si>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</si>
  <si>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</si>
  <si>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</si>
  <si>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</si>
  <si>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</si>
  <si>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</si>
  <si>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</si>
  <si>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</si>
  <si>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</si>
  <si>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</si>
  <si>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</si>
  <si>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</si>
  <si>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</si>
  <si>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</si>
  <si>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</si>
  <si>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</si>
  <si>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</si>
  <si>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</si>
  <si>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</si>
  <si>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</si>
  <si>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</si>
  <si>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</si>
  <si>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</si>
  <si>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</si>
  <si>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</si>
  <si>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</si>
  <si>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</si>
  <si>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</si>
  <si>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</si>
  <si>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</si>
  <si>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</si>
  <si>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</si>
  <si>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</si>
  <si>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</si>
  <si>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</si>
  <si>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</si>
  <si>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</si>
  <si>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</si>
  <si>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</si>
  <si>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</si>
  <si>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</si>
  <si>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</si>
  <si>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</si>
  <si>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</si>
  <si>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</si>
  <si>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</si>
  <si>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</si>
  <si>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</si>
  <si>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</si>
  <si>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</si>
  <si>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</si>
  <si>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</si>
  <si>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</si>
  <si>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</si>
  <si>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</si>
  <si>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</si>
  <si>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</si>
  <si>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</si>
  <si>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</si>
  <si>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</si>
  <si>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</si>
  <si>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</si>
  <si>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</si>
  <si>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</si>
  <si>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</si>
  <si>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</si>
  <si>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</si>
  <si>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</si>
  <si>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</si>
  <si>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</si>
  <si>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</si>
  <si>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</si>
  <si>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</si>
  <si>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</si>
  <si>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</si>
  <si>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</si>
  <si>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</si>
  <si>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</si>
  <si>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</si>
  <si>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</si>
  <si>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</si>
  <si>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</si>
  <si>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</si>
  <si>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</si>
  <si>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</si>
  <si>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2.2.5</t>
  </si>
  <si>
    <t>Codificação back-end</t>
  </si>
  <si>
    <t>Coletar feedback e implementação de melhorias</t>
  </si>
  <si>
    <t>Adaptação de mercado</t>
  </si>
  <si>
    <t>11.1</t>
  </si>
  <si>
    <t>11.1.2</t>
  </si>
  <si>
    <t>11.1.3</t>
  </si>
  <si>
    <t>Análise de expansão de mercado</t>
  </si>
  <si>
    <t>Desenvolvimento de parcerias</t>
  </si>
  <si>
    <t>Desenvolvimento de versões de assinatura - Monetização</t>
  </si>
  <si>
    <t>2ª</t>
  </si>
  <si>
    <t>Saúde e bem-estar na palma da sua mão</t>
  </si>
  <si>
    <t>NÃO</t>
  </si>
  <si>
    <t>Atividades</t>
  </si>
  <si>
    <t>Monitorar o feedback dos usuários escolhidos para usar o app e analisar métricas de uso</t>
  </si>
  <si>
    <t>Rede de Precedência de Atividades</t>
  </si>
  <si>
    <t>Planejamento/Design e Prototipagem</t>
  </si>
  <si>
    <t>1ª semana</t>
  </si>
  <si>
    <t>Gerente de Projeto</t>
  </si>
  <si>
    <t>Definir objetivos do sistema e proposta de valor</t>
  </si>
  <si>
    <t>2ª semana</t>
  </si>
  <si>
    <t>Identificar funcionalidades essenciais</t>
  </si>
  <si>
    <t>3ª semana</t>
  </si>
  <si>
    <t>Formar equipe de desenvolvimento e design</t>
  </si>
  <si>
    <t>4ª semana</t>
  </si>
  <si>
    <t>6ª semana</t>
  </si>
  <si>
    <t>Levantamento de requisitos</t>
  </si>
  <si>
    <t>8ª semana</t>
  </si>
  <si>
    <t>Analistas</t>
  </si>
  <si>
    <t>Definir arquitetura do sistema</t>
  </si>
  <si>
    <t>10ª semana</t>
  </si>
  <si>
    <t>Arquitetos de Software</t>
  </si>
  <si>
    <t>13ª semana</t>
  </si>
  <si>
    <t>Designers UX/UI</t>
  </si>
  <si>
    <t>Criar protótipos interativos</t>
  </si>
  <si>
    <t>15ª semana</t>
  </si>
  <si>
    <t>Designers</t>
  </si>
  <si>
    <t>Testes de usabilidade iniciais</t>
  </si>
  <si>
    <t>16ª semana</t>
  </si>
  <si>
    <t>Equipe de Qualidade</t>
  </si>
  <si>
    <t>22ª semana</t>
  </si>
  <si>
    <t>Desenvolvedores</t>
  </si>
  <si>
    <t>Implementação do backend</t>
  </si>
  <si>
    <t>25ª semana</t>
  </si>
  <si>
    <t>Dev Backend</t>
  </si>
  <si>
    <t>Implementação do frontend</t>
  </si>
  <si>
    <t>28ª semana</t>
  </si>
  <si>
    <t>Dev Frontend</t>
  </si>
  <si>
    <t>Integração com APIs de transporte</t>
  </si>
  <si>
    <t>31ª semana</t>
  </si>
  <si>
    <t>Testes e Validação</t>
  </si>
  <si>
    <t>34ª semana</t>
  </si>
  <si>
    <t>QA</t>
  </si>
  <si>
    <t>Testes unitários e integração</t>
  </si>
  <si>
    <t>36ª semana</t>
  </si>
  <si>
    <t>6.2</t>
  </si>
  <si>
    <t>Testes beta com usuários reais</t>
  </si>
  <si>
    <t>38ª semana</t>
  </si>
  <si>
    <t>Lançamento Interno</t>
  </si>
  <si>
    <t>40ª semana</t>
  </si>
  <si>
    <t>43ª semana</t>
  </si>
  <si>
    <t>Equipe de Marketing</t>
  </si>
  <si>
    <t>Manutenção e Atualizações</t>
  </si>
  <si>
    <t>Contínuo</t>
  </si>
  <si>
    <t>niciação</t>
  </si>
  <si>
    <t>Integração com APIs</t>
  </si>
  <si>
    <t>Experiência do usuário (UX)</t>
  </si>
  <si>
    <t>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</si>
</sst>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s>
  <fonts count="45" x14ac:knownFonts="1">
    <font>
      <sz val="10"/>
      <name val="Arial"/>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b/>
      <sz val="14"/>
      <name val="Arial"/>
      <family val="2"/>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s>
  <fills count="24">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theme="3"/>
      </right>
      <top style="medium">
        <color indexed="64"/>
      </top>
      <bottom/>
      <diagonal/>
    </border>
    <border>
      <left style="thin">
        <color theme="3"/>
      </left>
      <right style="thin">
        <color theme="3"/>
      </right>
      <top style="medium">
        <color indexed="64"/>
      </top>
      <bottom/>
      <diagonal/>
    </border>
    <border>
      <left style="thin">
        <color theme="3"/>
      </left>
      <right style="medium">
        <color indexed="64"/>
      </right>
      <top style="medium">
        <color indexed="64"/>
      </top>
      <bottom/>
      <diagonal/>
    </border>
    <border>
      <left style="medium">
        <color indexed="64"/>
      </left>
      <right style="thin">
        <color theme="3"/>
      </right>
      <top style="medium">
        <color indexed="64"/>
      </top>
      <bottom/>
      <diagonal/>
    </border>
    <border>
      <left style="medium">
        <color indexed="64"/>
      </left>
      <right style="thin">
        <color indexed="64"/>
      </right>
      <top style="medium">
        <color indexed="64"/>
      </top>
      <bottom/>
      <diagonal/>
    </border>
  </borders>
  <cellStyleXfs count="21">
    <xf numFmtId="0" fontId="0" fillId="0" borderId="0"/>
    <xf numFmtId="168" fontId="16" fillId="0" borderId="37" applyFill="0">
      <alignment horizontal="center" vertical="center"/>
    </xf>
    <xf numFmtId="0" fontId="7" fillId="0" borderId="0" applyNumberFormat="0" applyFill="0" applyBorder="0" applyAlignment="0" applyProtection="0">
      <alignment vertical="top"/>
      <protection locked="0"/>
    </xf>
    <xf numFmtId="165" fontId="16" fillId="0" borderId="29">
      <alignment horizontal="center" vertical="center"/>
    </xf>
    <xf numFmtId="164" fontId="2" fillId="0" borderId="0" applyFont="0" applyFill="0" applyBorder="0" applyAlignment="0" applyProtection="0"/>
    <xf numFmtId="0" fontId="16" fillId="0" borderId="37" applyFill="0">
      <alignment horizontal="center" vertical="center"/>
    </xf>
    <xf numFmtId="9" fontId="2" fillId="0" borderId="0" applyFont="0" applyFill="0" applyBorder="0" applyAlignment="0" applyProtection="0"/>
    <xf numFmtId="0" fontId="16" fillId="0" borderId="37" applyFill="0">
      <alignment horizontal="left" vertical="center" indent="2"/>
    </xf>
    <xf numFmtId="0" fontId="18" fillId="0" borderId="0" applyNumberFormat="0" applyFill="0" applyBorder="0" applyAlignment="0" applyProtection="0"/>
    <xf numFmtId="0" fontId="19" fillId="0" borderId="19" applyNumberFormat="0" applyFill="0" applyAlignment="0" applyProtection="0"/>
    <xf numFmtId="0" fontId="20" fillId="0" borderId="20" applyNumberFormat="0" applyFill="0" applyAlignment="0" applyProtection="0"/>
    <xf numFmtId="0" fontId="17" fillId="0" borderId="0"/>
    <xf numFmtId="0" fontId="2" fillId="0" borderId="0"/>
    <xf numFmtId="0" fontId="18" fillId="0" borderId="0" applyNumberFormat="0" applyFill="0" applyBorder="0" applyAlignment="0" applyProtection="0"/>
    <xf numFmtId="0" fontId="42" fillId="0" borderId="0" applyNumberFormat="0" applyFill="0" applyBorder="0" applyAlignment="0" applyProtection="0"/>
    <xf numFmtId="0" fontId="17" fillId="22" borderId="0" applyNumberFormat="0" applyBorder="0" applyAlignment="0" applyProtection="0"/>
    <xf numFmtId="0" fontId="29" fillId="0" borderId="0"/>
    <xf numFmtId="0" fontId="17" fillId="23" borderId="0" applyNumberFormat="0" applyBorder="0" applyAlignment="0" applyProtection="0"/>
    <xf numFmtId="0" fontId="43" fillId="21" borderId="0" applyNumberFormat="0" applyBorder="0" applyAlignment="0" applyProtection="0"/>
    <xf numFmtId="0" fontId="1" fillId="0" borderId="0"/>
    <xf numFmtId="9" fontId="44" fillId="0" borderId="0" applyFont="0" applyFill="0" applyBorder="0" applyAlignment="0" applyProtection="0"/>
  </cellStyleXfs>
  <cellXfs count="173">
    <xf numFmtId="0" fontId="0" fillId="0" borderId="0" xfId="0"/>
    <xf numFmtId="0" fontId="0" fillId="0" borderId="0" xfId="0" applyAlignment="1">
      <alignment horizontal="center"/>
    </xf>
    <xf numFmtId="0" fontId="6" fillId="0" borderId="0" xfId="0" applyFont="1"/>
    <xf numFmtId="0" fontId="0" fillId="0" borderId="0" xfId="0" applyAlignment="1">
      <alignment horizontal="left"/>
    </xf>
    <xf numFmtId="0" fontId="8"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indent="2"/>
    </xf>
    <xf numFmtId="0" fontId="9" fillId="0" borderId="0" xfId="0" applyFont="1"/>
    <xf numFmtId="0" fontId="5" fillId="0" borderId="0" xfId="0" applyFont="1" applyAlignment="1">
      <alignment vertical="center"/>
    </xf>
    <xf numFmtId="0" fontId="4" fillId="0" borderId="1" xfId="0" applyFont="1" applyBorder="1" applyAlignment="1">
      <alignment horizontal="left" vertical="center" wrapText="1"/>
    </xf>
    <xf numFmtId="0" fontId="9" fillId="0" borderId="0" xfId="0" applyFont="1" applyAlignment="1">
      <alignment vertical="center"/>
    </xf>
    <xf numFmtId="0" fontId="4" fillId="0" borderId="2" xfId="0" applyFont="1" applyBorder="1" applyAlignment="1">
      <alignment horizontal="left" vertical="center" wrapText="1" indent="2"/>
    </xf>
    <xf numFmtId="0" fontId="10" fillId="2" borderId="3" xfId="0" applyFont="1" applyFill="1" applyBorder="1" applyAlignment="1">
      <alignment horizontal="left" vertical="center" wrapText="1" indent="2"/>
    </xf>
    <xf numFmtId="0" fontId="10" fillId="2" borderId="4" xfId="0" applyFont="1" applyFill="1" applyBorder="1" applyAlignment="1">
      <alignment horizontal="left" vertical="center" wrapText="1"/>
    </xf>
    <xf numFmtId="0" fontId="0" fillId="0" borderId="0" xfId="0" applyAlignment="1">
      <alignment vertical="center"/>
    </xf>
    <xf numFmtId="0" fontId="6" fillId="0" borderId="5" xfId="0" applyFont="1" applyBorder="1"/>
    <xf numFmtId="0" fontId="6" fillId="0" borderId="6" xfId="0" applyFont="1" applyBorder="1"/>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0" fillId="0" borderId="5" xfId="0" applyBorder="1"/>
    <xf numFmtId="0" fontId="5" fillId="0" borderId="0" xfId="0" applyFont="1"/>
    <xf numFmtId="0" fontId="13" fillId="0" borderId="0" xfId="0" applyFont="1"/>
    <xf numFmtId="0" fontId="22" fillId="0" borderId="0" xfId="0" applyFont="1" applyAlignment="1">
      <alignment horizontal="center" vertical="center"/>
    </xf>
    <xf numFmtId="0" fontId="23" fillId="0" borderId="0" xfId="0" applyFont="1" applyAlignment="1">
      <alignment horizontal="center"/>
    </xf>
    <xf numFmtId="0" fontId="23" fillId="0" borderId="0" xfId="0" applyFont="1"/>
    <xf numFmtId="0" fontId="14" fillId="0" borderId="0" xfId="0" applyFont="1"/>
    <xf numFmtId="0" fontId="0" fillId="0" borderId="21" xfId="0" applyBorder="1"/>
    <xf numFmtId="0" fontId="0" fillId="0" borderId="22" xfId="0" applyBorder="1"/>
    <xf numFmtId="0" fontId="0" fillId="0" borderId="21" xfId="0" pivotButton="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17" fillId="0" borderId="0" xfId="11" applyAlignment="1">
      <alignment wrapText="1"/>
    </xf>
    <xf numFmtId="0" fontId="18" fillId="0" borderId="0" xfId="8" applyAlignment="1">
      <alignment horizontal="left"/>
    </xf>
    <xf numFmtId="0" fontId="24" fillId="0" borderId="0" xfId="0" applyFont="1" applyAlignment="1">
      <alignment horizontal="left"/>
    </xf>
    <xf numFmtId="0" fontId="25" fillId="0" borderId="0" xfId="0" applyFont="1"/>
    <xf numFmtId="0" fontId="25" fillId="0" borderId="0" xfId="0" applyFont="1" applyAlignment="1">
      <alignment horizontal="center"/>
    </xf>
    <xf numFmtId="0" fontId="17" fillId="0" borderId="0" xfId="11"/>
    <xf numFmtId="0" fontId="0" fillId="0" borderId="29" xfId="0" applyBorder="1" applyAlignment="1">
      <alignment horizontal="center" vertical="center"/>
    </xf>
    <xf numFmtId="0" fontId="0" fillId="0" borderId="33" xfId="0" applyBorder="1"/>
    <xf numFmtId="167" fontId="26" fillId="7" borderId="34" xfId="0" applyNumberFormat="1" applyFont="1" applyFill="1" applyBorder="1" applyAlignment="1">
      <alignment horizontal="center" vertical="center"/>
    </xf>
    <xf numFmtId="167" fontId="26" fillId="7" borderId="0" xfId="0" applyNumberFormat="1" applyFont="1" applyFill="1" applyAlignment="1">
      <alignment horizontal="center" vertical="center"/>
    </xf>
    <xf numFmtId="167" fontId="26" fillId="7" borderId="28" xfId="0" applyNumberFormat="1" applyFont="1" applyFill="1" applyBorder="1" applyAlignment="1">
      <alignment horizontal="center" vertical="center"/>
    </xf>
    <xf numFmtId="0" fontId="27" fillId="8" borderId="31" xfId="0" applyFont="1" applyFill="1" applyBorder="1" applyAlignment="1">
      <alignment horizontal="left" vertical="center" indent="1"/>
    </xf>
    <xf numFmtId="0" fontId="27" fillId="8" borderId="31" xfId="0" applyFont="1" applyFill="1" applyBorder="1" applyAlignment="1">
      <alignment horizontal="center" vertical="center" wrapText="1"/>
    </xf>
    <xf numFmtId="0" fontId="28" fillId="9" borderId="35" xfId="0" applyFont="1" applyFill="1" applyBorder="1" applyAlignment="1">
      <alignment horizontal="center" vertical="center" shrinkToFit="1"/>
    </xf>
    <xf numFmtId="0" fontId="0" fillId="0" borderId="0" xfId="0" applyAlignment="1">
      <alignment wrapText="1"/>
    </xf>
    <xf numFmtId="0" fontId="0" fillId="0" borderId="36" xfId="0" applyBorder="1" applyAlignment="1">
      <alignment vertical="center"/>
    </xf>
    <xf numFmtId="0" fontId="21" fillId="10" borderId="37" xfId="0" applyFont="1" applyFill="1" applyBorder="1" applyAlignment="1">
      <alignment horizontal="left" vertical="center" indent="1"/>
    </xf>
    <xf numFmtId="0" fontId="16" fillId="10" borderId="37" xfId="5" applyFill="1">
      <alignment horizontal="center" vertical="center"/>
    </xf>
    <xf numFmtId="9" fontId="29" fillId="10" borderId="37" xfId="6" applyFont="1" applyFill="1" applyBorder="1" applyAlignment="1">
      <alignment horizontal="center" vertical="center"/>
    </xf>
    <xf numFmtId="168" fontId="0" fillId="10" borderId="37" xfId="0" applyNumberFormat="1" applyFill="1" applyBorder="1" applyAlignment="1">
      <alignment horizontal="center" vertical="center"/>
    </xf>
    <xf numFmtId="168" fontId="29" fillId="10" borderId="37" xfId="0" applyNumberFormat="1" applyFont="1" applyFill="1" applyBorder="1" applyAlignment="1">
      <alignment horizontal="center" vertical="center"/>
    </xf>
    <xf numFmtId="0" fontId="29" fillId="0" borderId="37" xfId="0" applyFont="1" applyBorder="1" applyAlignment="1">
      <alignment horizontal="center" vertical="center"/>
    </xf>
    <xf numFmtId="0" fontId="16" fillId="11" borderId="37" xfId="7" applyFill="1">
      <alignment horizontal="left" vertical="center" indent="2"/>
    </xf>
    <xf numFmtId="0" fontId="16" fillId="11" borderId="37" xfId="5" applyFill="1">
      <alignment horizontal="center" vertical="center"/>
    </xf>
    <xf numFmtId="9" fontId="29" fillId="11" borderId="37" xfId="6" applyFont="1" applyFill="1" applyBorder="1" applyAlignment="1">
      <alignment horizontal="center" vertical="center"/>
    </xf>
    <xf numFmtId="168" fontId="16" fillId="11" borderId="37" xfId="1" applyFill="1">
      <alignment horizontal="center" vertical="center"/>
    </xf>
    <xf numFmtId="0" fontId="0" fillId="0" borderId="36" xfId="0" applyBorder="1" applyAlignment="1">
      <alignment horizontal="right" vertical="center"/>
    </xf>
    <xf numFmtId="0" fontId="21" fillId="12" borderId="37" xfId="0" applyFont="1" applyFill="1" applyBorder="1" applyAlignment="1">
      <alignment horizontal="left" vertical="center" indent="1"/>
    </xf>
    <xf numFmtId="0" fontId="16" fillId="12" borderId="37" xfId="5" applyFill="1">
      <alignment horizontal="center" vertical="center"/>
    </xf>
    <xf numFmtId="9" fontId="29" fillId="12" borderId="37" xfId="6" applyFont="1" applyFill="1" applyBorder="1" applyAlignment="1">
      <alignment horizontal="center" vertical="center"/>
    </xf>
    <xf numFmtId="168" fontId="0" fillId="12" borderId="37" xfId="0" applyNumberFormat="1" applyFill="1" applyBorder="1" applyAlignment="1">
      <alignment horizontal="center" vertical="center"/>
    </xf>
    <xf numFmtId="168" fontId="29" fillId="12" borderId="37" xfId="0" applyNumberFormat="1" applyFont="1" applyFill="1" applyBorder="1" applyAlignment="1">
      <alignment horizontal="center" vertical="center"/>
    </xf>
    <xf numFmtId="0" fontId="16" fillId="13" borderId="37" xfId="7" applyFill="1">
      <alignment horizontal="left" vertical="center" indent="2"/>
    </xf>
    <xf numFmtId="0" fontId="16" fillId="13" borderId="37" xfId="5" applyFill="1">
      <alignment horizontal="center" vertical="center"/>
    </xf>
    <xf numFmtId="9" fontId="29" fillId="13" borderId="37" xfId="6" applyFont="1" applyFill="1" applyBorder="1" applyAlignment="1">
      <alignment horizontal="center" vertical="center"/>
    </xf>
    <xf numFmtId="168" fontId="16" fillId="13" borderId="37" xfId="1" applyFill="1">
      <alignment horizontal="center" vertical="center"/>
    </xf>
    <xf numFmtId="0" fontId="21" fillId="14" borderId="37" xfId="0" applyFont="1" applyFill="1" applyBorder="1" applyAlignment="1">
      <alignment horizontal="left" vertical="center" indent="1"/>
    </xf>
    <xf numFmtId="0" fontId="16" fillId="14" borderId="37" xfId="5" applyFill="1">
      <alignment horizontal="center" vertical="center"/>
    </xf>
    <xf numFmtId="9" fontId="29" fillId="14" borderId="37" xfId="6" applyFont="1" applyFill="1" applyBorder="1" applyAlignment="1">
      <alignment horizontal="center" vertical="center"/>
    </xf>
    <xf numFmtId="168" fontId="0" fillId="14" borderId="37" xfId="0" applyNumberFormat="1" applyFill="1" applyBorder="1" applyAlignment="1">
      <alignment horizontal="center" vertical="center"/>
    </xf>
    <xf numFmtId="168" fontId="29" fillId="14" borderId="37" xfId="0" applyNumberFormat="1" applyFont="1" applyFill="1" applyBorder="1" applyAlignment="1">
      <alignment horizontal="center" vertical="center"/>
    </xf>
    <xf numFmtId="0" fontId="16" fillId="15" borderId="37" xfId="7" applyFill="1">
      <alignment horizontal="left" vertical="center" indent="2"/>
    </xf>
    <xf numFmtId="0" fontId="16" fillId="15" borderId="37" xfId="5" applyFill="1">
      <alignment horizontal="center" vertical="center"/>
    </xf>
    <xf numFmtId="9" fontId="29" fillId="15" borderId="37" xfId="6" applyFont="1" applyFill="1" applyBorder="1" applyAlignment="1">
      <alignment horizontal="center" vertical="center"/>
    </xf>
    <xf numFmtId="168" fontId="16" fillId="15" borderId="37" xfId="1" applyFill="1">
      <alignment horizontal="center" vertical="center"/>
    </xf>
    <xf numFmtId="0" fontId="21" fillId="16" borderId="37" xfId="0" applyFont="1" applyFill="1" applyBorder="1" applyAlignment="1">
      <alignment horizontal="left" vertical="center" indent="1"/>
    </xf>
    <xf numFmtId="0" fontId="16" fillId="16" borderId="37" xfId="5" applyFill="1">
      <alignment horizontal="center" vertical="center"/>
    </xf>
    <xf numFmtId="9" fontId="29" fillId="16" borderId="37" xfId="6" applyFont="1" applyFill="1" applyBorder="1" applyAlignment="1">
      <alignment horizontal="center" vertical="center"/>
    </xf>
    <xf numFmtId="168" fontId="0" fillId="16" borderId="37" xfId="0" applyNumberFormat="1" applyFill="1" applyBorder="1" applyAlignment="1">
      <alignment horizontal="center" vertical="center"/>
    </xf>
    <xf numFmtId="168" fontId="29" fillId="16" borderId="37" xfId="0" applyNumberFormat="1" applyFont="1" applyFill="1" applyBorder="1" applyAlignment="1">
      <alignment horizontal="center" vertical="center"/>
    </xf>
    <xf numFmtId="0" fontId="16" fillId="17" borderId="37" xfId="7" applyFill="1">
      <alignment horizontal="left" vertical="center" indent="2"/>
    </xf>
    <xf numFmtId="0" fontId="16" fillId="17" borderId="37" xfId="5" applyFill="1">
      <alignment horizontal="center" vertical="center"/>
    </xf>
    <xf numFmtId="9" fontId="29" fillId="17" borderId="37" xfId="6" applyFont="1" applyFill="1" applyBorder="1" applyAlignment="1">
      <alignment horizontal="center" vertical="center"/>
    </xf>
    <xf numFmtId="168" fontId="16" fillId="17" borderId="37" xfId="1" applyFill="1">
      <alignment horizontal="center" vertical="center"/>
    </xf>
    <xf numFmtId="0" fontId="16" fillId="0" borderId="37" xfId="7">
      <alignment horizontal="left" vertical="center" indent="2"/>
    </xf>
    <xf numFmtId="0" fontId="16" fillId="0" borderId="37" xfId="5">
      <alignment horizontal="center" vertical="center"/>
    </xf>
    <xf numFmtId="9" fontId="29" fillId="0" borderId="37" xfId="6" applyFont="1" applyBorder="1" applyAlignment="1">
      <alignment horizontal="center" vertical="center"/>
    </xf>
    <xf numFmtId="168" fontId="16" fillId="0" borderId="37" xfId="1">
      <alignment horizontal="center" vertical="center"/>
    </xf>
    <xf numFmtId="0" fontId="30" fillId="18" borderId="37" xfId="0" applyFont="1" applyFill="1" applyBorder="1" applyAlignment="1">
      <alignment horizontal="left" vertical="center" indent="1"/>
    </xf>
    <xf numFmtId="0" fontId="30" fillId="18" borderId="37" xfId="0" applyFont="1" applyFill="1" applyBorder="1" applyAlignment="1">
      <alignment horizontal="center" vertical="center"/>
    </xf>
    <xf numFmtId="9" fontId="29" fillId="18" borderId="37" xfId="6" applyFont="1" applyFill="1" applyBorder="1" applyAlignment="1">
      <alignment horizontal="center" vertical="center"/>
    </xf>
    <xf numFmtId="168" fontId="31" fillId="18" borderId="37" xfId="0" applyNumberFormat="1" applyFont="1" applyFill="1" applyBorder="1" applyAlignment="1">
      <alignment horizontal="left" vertical="center"/>
    </xf>
    <xf numFmtId="168" fontId="29" fillId="18" borderId="37" xfId="0" applyNumberFormat="1" applyFont="1" applyFill="1" applyBorder="1" applyAlignment="1">
      <alignment horizontal="center" vertical="center"/>
    </xf>
    <xf numFmtId="0" fontId="29" fillId="18" borderId="37" xfId="0" applyFont="1" applyFill="1" applyBorder="1" applyAlignment="1">
      <alignment horizontal="center" vertical="center"/>
    </xf>
    <xf numFmtId="0" fontId="0" fillId="18" borderId="36" xfId="0" applyFill="1" applyBorder="1" applyAlignment="1">
      <alignment vertical="center"/>
    </xf>
    <xf numFmtId="0" fontId="0" fillId="0" borderId="0" xfId="0" applyAlignment="1">
      <alignment horizontal="right" vertical="center"/>
    </xf>
    <xf numFmtId="0" fontId="32" fillId="0" borderId="0" xfId="0" applyFont="1"/>
    <xf numFmtId="0" fontId="17" fillId="0" borderId="0" xfId="0" applyFont="1" applyAlignment="1">
      <alignment horizontal="center"/>
    </xf>
    <xf numFmtId="0" fontId="33" fillId="0" borderId="0" xfId="2" applyFont="1" applyAlignment="1" applyProtection="1"/>
    <xf numFmtId="0" fontId="19" fillId="0" borderId="19" xfId="9" applyAlignment="1">
      <alignment vertical="top" wrapText="1"/>
    </xf>
    <xf numFmtId="0" fontId="6" fillId="0" borderId="0" xfId="0" applyFont="1" applyAlignment="1">
      <alignment horizontal="center"/>
    </xf>
    <xf numFmtId="0" fontId="0" fillId="0" borderId="0" xfId="0" applyAlignment="1">
      <alignment horizontal="left" vertical="center"/>
    </xf>
    <xf numFmtId="0" fontId="2" fillId="0" borderId="0" xfId="0" applyFont="1" applyAlignment="1">
      <alignment horizontal="left" vertical="center" wrapText="1"/>
    </xf>
    <xf numFmtId="0" fontId="35" fillId="0" borderId="0" xfId="0" applyFont="1" applyAlignment="1">
      <alignment horizontal="left" vertical="center"/>
    </xf>
    <xf numFmtId="0" fontId="36" fillId="0" borderId="0" xfId="0" applyFont="1" applyAlignment="1">
      <alignment horizontal="left" vertical="center"/>
    </xf>
    <xf numFmtId="0" fontId="2" fillId="0" borderId="0" xfId="0" applyFont="1"/>
    <xf numFmtId="0" fontId="0" fillId="0" borderId="0" xfId="0" applyAlignment="1">
      <alignment horizontal="center" vertical="center"/>
    </xf>
    <xf numFmtId="0" fontId="8" fillId="0" borderId="0" xfId="0" applyFont="1" applyAlignment="1">
      <alignment horizontal="left" vertical="center"/>
    </xf>
    <xf numFmtId="0" fontId="39" fillId="0" borderId="1" xfId="0" applyFont="1" applyBorder="1" applyAlignment="1">
      <alignment horizontal="center" vertical="center" wrapText="1"/>
    </xf>
    <xf numFmtId="0" fontId="22" fillId="0" borderId="0" xfId="0" applyFont="1" applyAlignment="1">
      <alignment horizontal="center" vertical="center"/>
    </xf>
    <xf numFmtId="0" fontId="41" fillId="20" borderId="38" xfId="0" applyFont="1" applyFill="1" applyBorder="1" applyAlignment="1">
      <alignment horizontal="center" vertical="center"/>
    </xf>
    <xf numFmtId="0" fontId="41" fillId="20" borderId="14" xfId="0" applyFont="1" applyFill="1" applyBorder="1" applyAlignment="1">
      <alignment horizontal="center" vertical="center"/>
    </xf>
    <xf numFmtId="0" fontId="41" fillId="20" borderId="8" xfId="0" applyFont="1" applyFill="1" applyBorder="1" applyAlignment="1">
      <alignment horizontal="center" vertical="center"/>
    </xf>
    <xf numFmtId="166" fontId="0" fillId="7" borderId="30" xfId="0" applyNumberFormat="1" applyFill="1" applyBorder="1" applyAlignment="1">
      <alignment horizontal="left" vertical="center" wrapText="1" indent="1"/>
    </xf>
    <xf numFmtId="166" fontId="0" fillId="7" borderId="31" xfId="0" applyNumberFormat="1" applyFill="1" applyBorder="1" applyAlignment="1">
      <alignment horizontal="left" vertical="center" wrapText="1" indent="1"/>
    </xf>
    <xf numFmtId="166" fontId="0" fillId="7" borderId="32" xfId="0" applyNumberFormat="1" applyFill="1" applyBorder="1" applyAlignment="1">
      <alignment horizontal="left" vertical="center" wrapText="1" indent="1"/>
    </xf>
    <xf numFmtId="0" fontId="20" fillId="0" borderId="20" xfId="10" applyAlignment="1">
      <alignment horizontal="right" indent="1"/>
    </xf>
    <xf numFmtId="0" fontId="20" fillId="0" borderId="28" xfId="10" applyBorder="1" applyAlignment="1">
      <alignment horizontal="right" indent="1"/>
    </xf>
    <xf numFmtId="165" fontId="16" fillId="0" borderId="29" xfId="3">
      <alignment horizontal="center" vertical="center"/>
    </xf>
    <xf numFmtId="0" fontId="4" fillId="4" borderId="11" xfId="0" applyFont="1" applyFill="1" applyBorder="1" applyAlignment="1">
      <alignment horizontal="center" vertical="center" wrapText="1"/>
    </xf>
    <xf numFmtId="0" fontId="0" fillId="0" borderId="12" xfId="0" applyBorder="1"/>
    <xf numFmtId="0" fontId="0" fillId="0" borderId="13" xfId="0" applyBorder="1"/>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6" fillId="0" borderId="16" xfId="0" applyFont="1" applyBorder="1" applyAlignment="1">
      <alignment horizontal="center" wrapText="1"/>
    </xf>
    <xf numFmtId="0" fontId="0" fillId="0" borderId="17" xfId="0" applyBorder="1"/>
    <xf numFmtId="0" fontId="0" fillId="0" borderId="18" xfId="0" applyBorder="1"/>
    <xf numFmtId="0" fontId="6" fillId="0" borderId="16" xfId="0" applyFont="1" applyBorder="1" applyAlignment="1">
      <alignment horizontal="center"/>
    </xf>
    <xf numFmtId="0" fontId="4" fillId="4" borderId="11" xfId="0" quotePrefix="1" applyFont="1" applyFill="1" applyBorder="1" applyAlignment="1">
      <alignment horizontal="center" vertical="center" wrapText="1"/>
    </xf>
    <xf numFmtId="0" fontId="34" fillId="5" borderId="39"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5" borderId="40" xfId="0" applyFont="1" applyFill="1" applyBorder="1" applyAlignment="1">
      <alignment horizontal="center" vertical="center" wrapText="1"/>
    </xf>
    <xf numFmtId="0" fontId="34" fillId="5" borderId="41" xfId="0" applyFont="1" applyFill="1" applyBorder="1" applyAlignment="1">
      <alignment horizontal="center" vertical="center" wrapText="1"/>
    </xf>
    <xf numFmtId="0" fontId="34" fillId="5" borderId="42" xfId="0" applyFont="1" applyFill="1" applyBorder="1" applyAlignment="1">
      <alignment horizontal="center" vertical="center" wrapText="1"/>
    </xf>
    <xf numFmtId="0" fontId="34" fillId="5" borderId="43" xfId="0" applyFont="1" applyFill="1" applyBorder="1" applyAlignment="1">
      <alignment horizontal="center" vertical="center" wrapText="1"/>
    </xf>
    <xf numFmtId="0" fontId="35" fillId="0" borderId="1" xfId="0" applyFont="1" applyBorder="1" applyAlignment="1">
      <alignment horizontal="center" vertical="center" wrapText="1"/>
    </xf>
    <xf numFmtId="0" fontId="34" fillId="5" borderId="1" xfId="0" applyFont="1" applyFill="1" applyBorder="1" applyAlignment="1">
      <alignment horizontal="center" vertical="center" wrapText="1"/>
    </xf>
    <xf numFmtId="0" fontId="0" fillId="0" borderId="1" xfId="0" applyBorder="1" applyAlignment="1">
      <alignment horizontal="center" vertical="center" wrapText="1"/>
    </xf>
    <xf numFmtId="8" fontId="0" fillId="0" borderId="1" xfId="0" applyNumberFormat="1" applyBorder="1" applyAlignment="1">
      <alignment horizontal="center" vertical="center" wrapText="1"/>
    </xf>
    <xf numFmtId="0" fontId="0" fillId="0" borderId="1" xfId="0" applyBorder="1" applyAlignment="1">
      <alignment horizontal="center"/>
    </xf>
    <xf numFmtId="0" fontId="5" fillId="5" borderId="1" xfId="0" applyFont="1" applyFill="1" applyBorder="1" applyAlignment="1">
      <alignment horizontal="center" vertical="center"/>
    </xf>
    <xf numFmtId="0" fontId="35" fillId="5" borderId="1" xfId="0" applyFont="1" applyFill="1" applyBorder="1" applyAlignment="1">
      <alignment horizontal="center" vertical="center" wrapText="1"/>
    </xf>
    <xf numFmtId="169" fontId="35" fillId="6" borderId="1" xfId="4" applyNumberFormat="1" applyFont="1" applyFill="1" applyBorder="1" applyAlignment="1">
      <alignment horizontal="center" vertical="center" wrapText="1"/>
    </xf>
    <xf numFmtId="164" fontId="35" fillId="5" borderId="1" xfId="4" applyFont="1" applyFill="1" applyBorder="1" applyAlignment="1">
      <alignment horizontal="center" vertical="center" wrapText="1"/>
    </xf>
    <xf numFmtId="0" fontId="35" fillId="5" borderId="1" xfId="0" applyFont="1" applyFill="1" applyBorder="1" applyAlignment="1">
      <alignment horizontal="center" vertical="center" wrapText="1"/>
    </xf>
    <xf numFmtId="8" fontId="35"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8" fontId="12" fillId="5" borderId="1" xfId="0" applyNumberFormat="1" applyFont="1" applyFill="1" applyBorder="1" applyAlignment="1">
      <alignment horizontal="center" vertical="center" wrapText="1"/>
    </xf>
    <xf numFmtId="0" fontId="40" fillId="5" borderId="44" xfId="0" applyFont="1" applyFill="1" applyBorder="1" applyAlignment="1">
      <alignment horizontal="center" vertical="center" wrapText="1"/>
    </xf>
    <xf numFmtId="0" fontId="40" fillId="5" borderId="42" xfId="0" applyFont="1" applyFill="1" applyBorder="1" applyAlignment="1">
      <alignment horizontal="center" vertical="center" wrapText="1"/>
    </xf>
    <xf numFmtId="0" fontId="40" fillId="5" borderId="10" xfId="0" applyFont="1" applyFill="1" applyBorder="1" applyAlignment="1">
      <alignment horizontal="center" vertical="center" wrapText="1"/>
    </xf>
    <xf numFmtId="0" fontId="39" fillId="20" borderId="1" xfId="0" applyFont="1" applyFill="1" applyBorder="1" applyAlignment="1">
      <alignment horizontal="center" vertical="center"/>
    </xf>
    <xf numFmtId="0" fontId="36" fillId="20" borderId="1" xfId="0" applyFont="1" applyFill="1" applyBorder="1" applyAlignment="1">
      <alignment horizontal="center" vertical="center"/>
    </xf>
    <xf numFmtId="0" fontId="36" fillId="20" borderId="1" xfId="0" applyFont="1" applyFill="1" applyBorder="1" applyAlignment="1">
      <alignment horizontal="center"/>
    </xf>
    <xf numFmtId="0" fontId="38" fillId="19" borderId="45" xfId="0" applyFont="1" applyFill="1" applyBorder="1" applyAlignment="1">
      <alignment horizontal="center" vertical="center" wrapText="1"/>
    </xf>
    <xf numFmtId="0" fontId="38" fillId="19" borderId="40" xfId="0" applyFont="1" applyFill="1" applyBorder="1" applyAlignment="1">
      <alignment horizontal="center" vertical="center" wrapText="1"/>
    </xf>
    <xf numFmtId="0" fontId="38" fillId="19" borderId="10" xfId="0" applyFont="1" applyFill="1" applyBorder="1" applyAlignment="1">
      <alignment horizontal="center" vertical="center" wrapText="1"/>
    </xf>
    <xf numFmtId="0" fontId="0" fillId="0" borderId="1" xfId="0" applyBorder="1" applyAlignment="1">
      <alignment horizontal="left"/>
    </xf>
    <xf numFmtId="0" fontId="15"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top" wrapText="1"/>
    </xf>
    <xf numFmtId="0" fontId="37" fillId="0" borderId="1" xfId="0" applyFont="1" applyBorder="1" applyAlignment="1">
      <alignment horizontal="left" vertical="center"/>
    </xf>
    <xf numFmtId="0" fontId="14" fillId="0" borderId="1" xfId="0" applyFont="1" applyBorder="1" applyAlignment="1">
      <alignment horizontal="left" vertical="top" wrapText="1"/>
    </xf>
    <xf numFmtId="0" fontId="2" fillId="0" borderId="1" xfId="0" applyFont="1" applyBorder="1" applyAlignment="1">
      <alignment horizontal="left" vertical="center"/>
    </xf>
    <xf numFmtId="0" fontId="37" fillId="0" borderId="1" xfId="0" applyFont="1" applyBorder="1" applyAlignment="1">
      <alignment horizontal="left" vertical="center" wrapText="1" shrinkToFit="1"/>
    </xf>
    <xf numFmtId="0" fontId="37" fillId="0" borderId="1" xfId="0" applyFont="1" applyBorder="1" applyAlignment="1">
      <alignment horizontal="left" vertical="center" wrapText="1"/>
    </xf>
    <xf numFmtId="0" fontId="14" fillId="0" borderId="1" xfId="0" applyFont="1" applyBorder="1" applyAlignment="1">
      <alignment horizontal="left"/>
    </xf>
  </cellXfs>
  <cellStyles count="21">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Porcentagem" xfId="6" builtinId="5"/>
    <cellStyle name="Porcentagem 2" xfId="20" xr:uid="{DD4485E6-46B2-4568-8B1E-DB364132CBA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3">
    <dxf>
      <fill>
        <patternFill>
          <bgColor theme="7"/>
        </patternFill>
      </fill>
      <border>
        <left/>
        <right/>
      </border>
    </dxf>
    <dxf>
      <fill>
        <patternFill>
          <bgColor theme="0" tint="-0.34998626667073579"/>
        </patternFill>
      </fill>
    </dxf>
    <dxf>
      <border>
        <left style="thin">
          <color rgb="FFC00000"/>
        </left>
        <right style="thin">
          <color rgb="FFC00000"/>
        </right>
      </border>
    </dxf>
  </dxfs>
  <tableStyles count="0" defaultTableStyle="TableStyleMedium9" defaultPivotStyle="PivotStyleLight16"/>
  <colors>
    <mruColors>
      <color rgb="FFA679E7"/>
      <color rgb="FFDCCAF6"/>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r>
            <a:rPr lang="pt-BR" sz="1050" b="1"/>
            <a:t>Fast 'n' Cheap</a:t>
          </a:r>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custT="1"/>
      <dgm:spPr>
        <a:solidFill>
          <a:schemeClr val="accent6">
            <a:lumMod val="75000"/>
          </a:schemeClr>
        </a:solidFill>
      </dgm:spPr>
      <dgm:t>
        <a:bodyPr/>
        <a:lstStyle/>
        <a:p>
          <a:r>
            <a:rPr lang="pt-BR" sz="700" b="1"/>
            <a:t>Desenvolvimento da Plataforma  e Interface do Usuário</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custT="1"/>
      <dgm:spPr>
        <a:solidFill>
          <a:schemeClr val="accent6">
            <a:lumMod val="75000"/>
          </a:schemeClr>
        </a:solidFill>
      </dgm:spPr>
      <dgm:t>
        <a:bodyPr/>
        <a:lstStyle/>
        <a:p>
          <a:r>
            <a:rPr lang="pt-BR" sz="700" b="1"/>
            <a:t>Testes de Sistema</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905ED552-0ABB-46DE-A60F-9DB1B7EBD348}">
      <dgm:prSet custT="1"/>
      <dgm:spPr>
        <a:solidFill>
          <a:schemeClr val="accent6">
            <a:lumMod val="75000"/>
          </a:schemeClr>
        </a:solidFill>
      </dgm:spPr>
      <dgm:t>
        <a:bodyPr/>
        <a:lstStyle/>
        <a:p>
          <a:r>
            <a:rPr lang="pt-BR" sz="700" b="1"/>
            <a:t>Aperfeiçoamento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custT="1"/>
      <dgm:spPr>
        <a:solidFill>
          <a:schemeClr val="accent6">
            <a:lumMod val="75000"/>
          </a:schemeClr>
        </a:solidFill>
      </dgm:spPr>
      <dgm:t>
        <a:bodyPr/>
        <a:lstStyle/>
        <a:p>
          <a:r>
            <a:rPr lang="pt-BR" sz="700" b="1"/>
            <a:t>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95040E2D-3B14-4838-BEEC-F567F54E210A}">
      <dgm:prSet custT="1"/>
      <dgm:spPr>
        <a:solidFill>
          <a:schemeClr val="accent6">
            <a:lumMod val="75000"/>
          </a:schemeClr>
        </a:solidFill>
      </dgm:spPr>
      <dgm:t>
        <a:bodyPr/>
        <a:lstStyle/>
        <a:p>
          <a:r>
            <a:rPr lang="pt-BR" sz="700" b="1"/>
            <a:t>Monitoramento</a:t>
          </a:r>
        </a:p>
      </dgm:t>
    </dgm:pt>
    <dgm:pt modelId="{05FE1BD5-3C3C-4969-A364-2530D63BDBD5}" type="parTrans" cxnId="{65E43AF3-D179-485C-9875-A65A828CCE76}">
      <dgm:prSet/>
      <dgm:spPr/>
      <dgm:t>
        <a:bodyPr/>
        <a:lstStyle/>
        <a:p>
          <a:endParaRPr lang="pt-BR"/>
        </a:p>
      </dgm:t>
    </dgm:pt>
    <dgm:pt modelId="{399F0C6F-6EF9-4BBC-8F8C-74F7043B2B33}" type="sibTrans" cxnId="{65E43AF3-D179-485C-9875-A65A828CCE76}">
      <dgm:prSet/>
      <dgm:spPr/>
      <dgm:t>
        <a:bodyPr/>
        <a:lstStyle/>
        <a:p>
          <a:endParaRPr lang="pt-BR"/>
        </a:p>
      </dgm:t>
    </dgm:pt>
    <dgm:pt modelId="{424E63FB-7A5E-47ED-BA8E-381C8BEA7B4D}">
      <dgm:prSet custT="1"/>
      <dgm:spPr>
        <a:solidFill>
          <a:schemeClr val="accent6">
            <a:lumMod val="75000"/>
          </a:schemeClr>
        </a:solidFill>
      </dgm:spPr>
      <dgm:t>
        <a:bodyPr/>
        <a:lstStyle/>
        <a:p>
          <a:r>
            <a:rPr lang="pt-BR" sz="700" b="1"/>
            <a:t>Marketing e Divulgação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700" b="1"/>
            <a:t>Desenvolvimento do Algoritmo IA</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700" b="1"/>
            <a:t>Levantamento dos Dados para o Uso de IA</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700" b="1"/>
            <a:t>Planejamento do Projeto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Levantamento do escopo</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Escolher fonte principal dos dados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D6F5CD79-D3E1-4B19-9C25-479267A00537}">
      <dgm:prSet/>
      <dgm:spPr/>
      <dgm:t>
        <a:bodyPr/>
        <a:lstStyle/>
        <a:p>
          <a:r>
            <a:rPr lang="pt-BR"/>
            <a:t>Teste unitário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86AF350A-A785-4BDD-9C13-1E90196942B4}">
      <dgm:prSet/>
      <dgm:spPr/>
      <dgm:t>
        <a:bodyPr/>
        <a:lstStyle/>
        <a:p>
          <a:r>
            <a:rPr lang="pt-BR"/>
            <a:t>Extrair informações</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6ED531EE-0BC7-4118-B43F-7D8D436633A8}">
      <dgm:prSet/>
      <dgm:spPr/>
      <dgm:t>
        <a:bodyPr/>
        <a:lstStyle/>
        <a:p>
          <a:r>
            <a:rPr lang="pt-BR"/>
            <a:t>Definir cronograma</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Montar estutura da equipe</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602FD50F-130C-4E3A-A16E-AF79EACA12AD}">
      <dgm:prSet/>
      <dgm:spPr/>
      <dgm:t>
        <a:bodyPr/>
        <a:lstStyle/>
        <a:p>
          <a:r>
            <a:rPr lang="pt-BR"/>
            <a:t>Prototipar design UI e UX</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03DF699C-3176-485E-B584-5BC85EC703ED}">
      <dgm:prSet/>
      <dgm:spPr/>
      <dgm:t>
        <a:bodyPr/>
        <a:lstStyle/>
        <a:p>
          <a:r>
            <a:rPr lang="pt-BR"/>
            <a:t>Teste de performance</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14677D57-6C42-491D-8659-1D0EAAA481A6}">
      <dgm:prSet/>
      <dgm:spPr/>
      <dgm:t>
        <a:bodyPr/>
        <a:lstStyle/>
        <a:p>
          <a:r>
            <a:rPr lang="pt-BR"/>
            <a:t>Gestão de risco</a:t>
          </a:r>
        </a:p>
      </dgm:t>
    </dgm:pt>
    <dgm:pt modelId="{B1F9E257-306A-4E60-9134-F429C9B2CE40}" type="parTrans" cxnId="{68A4E75D-5597-4C1D-94C5-0394CE584CBB}">
      <dgm:prSet/>
      <dgm:spPr/>
      <dgm:t>
        <a:bodyPr/>
        <a:lstStyle/>
        <a:p>
          <a:endParaRPr lang="pt-BR"/>
        </a:p>
      </dgm:t>
    </dgm:pt>
    <dgm:pt modelId="{50EE74F2-A05E-4553-8C9D-349A2315FB38}" type="sibTrans" cxnId="{68A4E75D-5597-4C1D-94C5-0394CE584CBB}">
      <dgm:prSet/>
      <dgm:spPr/>
      <dgm:t>
        <a:bodyPr/>
        <a:lstStyle/>
        <a:p>
          <a:endParaRPr lang="pt-BR"/>
        </a:p>
      </dgm:t>
    </dgm:pt>
    <dgm:pt modelId="{61B98582-12DE-4D2E-98B1-559B83192F52}">
      <dgm:prSet/>
      <dgm:spPr/>
      <dgm:t>
        <a:bodyPr/>
        <a:lstStyle/>
        <a:p>
          <a:r>
            <a:rPr lang="pt-BR"/>
            <a:t>Definir requisitos</a:t>
          </a:r>
        </a:p>
      </dgm:t>
    </dgm:pt>
    <dgm:pt modelId="{D8EE6B38-0E4D-456A-81EC-D7BD003387D9}" type="parTrans" cxnId="{52C50605-3271-458F-8A2D-1F23CA9CF09D}">
      <dgm:prSet/>
      <dgm:spPr/>
      <dgm:t>
        <a:bodyPr/>
        <a:lstStyle/>
        <a:p>
          <a:endParaRPr lang="pt-BR"/>
        </a:p>
      </dgm:t>
    </dgm:pt>
    <dgm:pt modelId="{58C0523F-4FF9-4514-AC96-6B7DB5AA31FF}" type="sibTrans" cxnId="{52C50605-3271-458F-8A2D-1F23CA9CF09D}">
      <dgm:prSet/>
      <dgm:spPr/>
      <dgm:t>
        <a:bodyPr/>
        <a:lstStyle/>
        <a:p>
          <a:endParaRPr lang="pt-BR"/>
        </a:p>
      </dgm:t>
    </dgm:pt>
    <dgm:pt modelId="{EF922BA1-6C35-4861-8263-B39C0D1CB551}">
      <dgm:prSet/>
      <dgm:spPr/>
      <dgm:t>
        <a:bodyPr/>
        <a:lstStyle/>
        <a:p>
          <a:r>
            <a:rPr lang="pt-BR"/>
            <a:t>Estabelecer objetivos do projeto</a:t>
          </a:r>
        </a:p>
      </dgm:t>
    </dgm:pt>
    <dgm:pt modelId="{01508D33-8B5E-4B5D-BC96-47F974BD0E70}" type="parTrans" cxnId="{E23BC675-A8AE-4564-8DF5-27BC1B3B3BD4}">
      <dgm:prSet/>
      <dgm:spPr/>
      <dgm:t>
        <a:bodyPr/>
        <a:lstStyle/>
        <a:p>
          <a:endParaRPr lang="pt-BR"/>
        </a:p>
      </dgm:t>
    </dgm:pt>
    <dgm:pt modelId="{5BE102B8-7EBA-47C6-BFDC-2398CDDAA899}" type="sibTrans" cxnId="{E23BC675-A8AE-4564-8DF5-27BC1B3B3BD4}">
      <dgm:prSet/>
      <dgm:spPr/>
      <dgm:t>
        <a:bodyPr/>
        <a:lstStyle/>
        <a:p>
          <a:endParaRPr lang="pt-BR"/>
        </a:p>
      </dgm:t>
    </dgm:pt>
    <dgm:pt modelId="{4E449FBA-D799-4060-9893-01C39471A7F5}">
      <dgm:prSet/>
      <dgm:spPr/>
      <dgm:t>
        <a:bodyPr/>
        <a:lstStyle/>
        <a:p>
          <a:r>
            <a:rPr lang="pt-BR"/>
            <a:t>Documentação do projeto</a:t>
          </a:r>
        </a:p>
      </dgm:t>
    </dgm:pt>
    <dgm:pt modelId="{59D0DEF8-EA5F-4DC8-8392-680DDEE825F4}" type="parTrans" cxnId="{A7259E13-E229-4A4E-A830-5FCF28578837}">
      <dgm:prSet/>
      <dgm:spPr/>
      <dgm:t>
        <a:bodyPr/>
        <a:lstStyle/>
        <a:p>
          <a:endParaRPr lang="pt-BR"/>
        </a:p>
      </dgm:t>
    </dgm:pt>
    <dgm:pt modelId="{AFC9C495-E3EC-47BA-81A9-86238F0DB38A}" type="sibTrans" cxnId="{A7259E13-E229-4A4E-A830-5FCF28578837}">
      <dgm:prSet/>
      <dgm:spPr/>
      <dgm:t>
        <a:bodyPr/>
        <a:lstStyle/>
        <a:p>
          <a:endParaRPr lang="pt-BR"/>
        </a:p>
      </dgm:t>
    </dgm:pt>
    <dgm:pt modelId="{FE2301CC-0370-47FA-A15F-0270F29223F2}">
      <dgm:prSet/>
      <dgm:spPr/>
      <dgm:t>
        <a:bodyPr/>
        <a:lstStyle/>
        <a:p>
          <a:r>
            <a:rPr lang="pt-BR"/>
            <a:t>Distribuir responsabilidades</a:t>
          </a:r>
        </a:p>
      </dgm:t>
    </dgm:pt>
    <dgm:pt modelId="{8C625B3A-41BB-4E27-8E82-FF4DDFA1FAD9}" type="parTrans" cxnId="{072E40CE-13BB-4488-B7D8-4C82403BC005}">
      <dgm:prSet/>
      <dgm:spPr/>
      <dgm:t>
        <a:bodyPr/>
        <a:lstStyle/>
        <a:p>
          <a:endParaRPr lang="pt-BR"/>
        </a:p>
      </dgm:t>
    </dgm:pt>
    <dgm:pt modelId="{7A36A829-4EBB-4AC1-8081-6A5EEC5AD14B}" type="sibTrans" cxnId="{072E40CE-13BB-4488-B7D8-4C82403BC005}">
      <dgm:prSet/>
      <dgm:spPr/>
      <dgm:t>
        <a:bodyPr/>
        <a:lstStyle/>
        <a:p>
          <a:endParaRPr lang="pt-BR"/>
        </a:p>
      </dgm:t>
    </dgm:pt>
    <dgm:pt modelId="{6FEF53BF-C4D9-4ACB-B4E9-D7A91EDE22DC}">
      <dgm:prSet/>
      <dgm:spPr/>
      <dgm:t>
        <a:bodyPr/>
        <a:lstStyle/>
        <a:p>
          <a:r>
            <a:rPr lang="pt-BR"/>
            <a:t>Plano de mitigação</a:t>
          </a:r>
        </a:p>
      </dgm:t>
    </dgm:pt>
    <dgm:pt modelId="{702B48C3-58ED-4EDC-8F28-A5B29D60D7CF}" type="parTrans" cxnId="{5AF378E5-C576-48CB-BEA4-477B262B7436}">
      <dgm:prSet/>
      <dgm:spPr/>
      <dgm:t>
        <a:bodyPr/>
        <a:lstStyle/>
        <a:p>
          <a:endParaRPr lang="pt-BR"/>
        </a:p>
      </dgm:t>
    </dgm:pt>
    <dgm:pt modelId="{C1F235F0-30BD-451F-B7D7-39198B67EB04}" type="sibTrans" cxnId="{5AF378E5-C576-48CB-BEA4-477B262B7436}">
      <dgm:prSet/>
      <dgm:spPr/>
      <dgm:t>
        <a:bodyPr/>
        <a:lstStyle/>
        <a:p>
          <a:endParaRPr lang="pt-BR"/>
        </a:p>
      </dgm:t>
    </dgm:pt>
    <dgm:pt modelId="{F62C930D-1238-4F99-9C14-CAA9A9CF5200}">
      <dgm:prSet/>
      <dgm:spPr/>
      <dgm:t>
        <a:bodyPr/>
        <a:lstStyle/>
        <a:p>
          <a:r>
            <a:rPr lang="pt-BR"/>
            <a:t>Qualificação do dados</a:t>
          </a:r>
        </a:p>
      </dgm:t>
    </dgm:pt>
    <dgm:pt modelId="{7B1EB518-6926-4007-B8F0-C18BB6AFBD5C}" type="parTrans" cxnId="{0B2A9BAB-5749-4721-8DBB-BB98709CA976}">
      <dgm:prSet/>
      <dgm:spPr/>
      <dgm:t>
        <a:bodyPr/>
        <a:lstStyle/>
        <a:p>
          <a:endParaRPr lang="pt-BR"/>
        </a:p>
      </dgm:t>
    </dgm:pt>
    <dgm:pt modelId="{4334DB59-73B5-4A52-900C-42C059B5873D}" type="sibTrans" cxnId="{0B2A9BAB-5749-4721-8DBB-BB98709CA976}">
      <dgm:prSet/>
      <dgm:spPr/>
      <dgm:t>
        <a:bodyPr/>
        <a:lstStyle/>
        <a:p>
          <a:endParaRPr lang="pt-BR"/>
        </a:p>
      </dgm:t>
    </dgm:pt>
    <dgm:pt modelId="{FD1A1E17-BB1C-4819-9E1E-839F0DF9809E}">
      <dgm:prSet/>
      <dgm:spPr/>
      <dgm:t>
        <a:bodyPr/>
        <a:lstStyle/>
        <a:p>
          <a:r>
            <a:rPr lang="pt-BR"/>
            <a:t>Limpeza do dados</a:t>
          </a:r>
        </a:p>
      </dgm:t>
    </dgm:pt>
    <dgm:pt modelId="{FD8539BA-97B6-45E5-BE32-F165308789BF}" type="parTrans" cxnId="{8B0F4DC9-55A2-46F0-A3F5-8945EFBD25CC}">
      <dgm:prSet/>
      <dgm:spPr/>
      <dgm:t>
        <a:bodyPr/>
        <a:lstStyle/>
        <a:p>
          <a:endParaRPr lang="pt-BR"/>
        </a:p>
      </dgm:t>
    </dgm:pt>
    <dgm:pt modelId="{CE530CEE-3EA9-4406-8236-DC8E89E1501B}" type="sibTrans" cxnId="{8B0F4DC9-55A2-46F0-A3F5-8945EFBD25CC}">
      <dgm:prSet/>
      <dgm:spPr/>
      <dgm:t>
        <a:bodyPr/>
        <a:lstStyle/>
        <a:p>
          <a:endParaRPr lang="pt-BR"/>
        </a:p>
      </dgm:t>
    </dgm:pt>
    <dgm:pt modelId="{266B1920-D9F8-467F-9AC8-63395B56AFC6}">
      <dgm:prSet/>
      <dgm:spPr/>
      <dgm:t>
        <a:bodyPr/>
        <a:lstStyle/>
        <a:p>
          <a:r>
            <a:rPr lang="pt-BR"/>
            <a:t>Automatizar a coleta de dados</a:t>
          </a:r>
        </a:p>
      </dgm:t>
    </dgm:pt>
    <dgm:pt modelId="{43D360DB-A8D3-4D26-816F-C105652DA472}" type="parTrans" cxnId="{DCE56C61-7863-4B7E-9FBC-A14F58EF5778}">
      <dgm:prSet/>
      <dgm:spPr/>
      <dgm:t>
        <a:bodyPr/>
        <a:lstStyle/>
        <a:p>
          <a:endParaRPr lang="pt-BR"/>
        </a:p>
      </dgm:t>
    </dgm:pt>
    <dgm:pt modelId="{B27945EA-8E04-4B63-9D00-FD4FF2CC3E40}" type="sibTrans" cxnId="{DCE56C61-7863-4B7E-9FBC-A14F58EF5778}">
      <dgm:prSet/>
      <dgm:spPr/>
      <dgm:t>
        <a:bodyPr/>
        <a:lstStyle/>
        <a:p>
          <a:endParaRPr lang="pt-BR"/>
        </a:p>
      </dgm:t>
    </dgm:pt>
    <dgm:pt modelId="{D722AD66-857F-4EC9-9819-A5DD265CFAD7}">
      <dgm:prSet/>
      <dgm:spPr/>
      <dgm:t>
        <a:bodyPr/>
        <a:lstStyle/>
        <a:p>
          <a:r>
            <a:rPr lang="pt-BR"/>
            <a:t>Recolher BD dos aplicativos de corrida</a:t>
          </a:r>
        </a:p>
      </dgm:t>
    </dgm:pt>
    <dgm:pt modelId="{117742C0-6773-4105-9637-91DE5F062F47}" type="parTrans" cxnId="{E4E2F013-6146-4D1A-B735-BACBA9EBF34A}">
      <dgm:prSet/>
      <dgm:spPr/>
      <dgm:t>
        <a:bodyPr/>
        <a:lstStyle/>
        <a:p>
          <a:endParaRPr lang="pt-BR"/>
        </a:p>
      </dgm:t>
    </dgm:pt>
    <dgm:pt modelId="{E76BEE84-8B32-4AF0-93BF-714273072C26}" type="sibTrans" cxnId="{E4E2F013-6146-4D1A-B735-BACBA9EBF34A}">
      <dgm:prSet/>
      <dgm:spPr/>
      <dgm:t>
        <a:bodyPr/>
        <a:lstStyle/>
        <a:p>
          <a:endParaRPr lang="pt-BR"/>
        </a:p>
      </dgm:t>
    </dgm:pt>
    <dgm:pt modelId="{57B1D34F-C6DF-4088-A62B-DA3BA410AB14}">
      <dgm:prSet/>
      <dgm:spPr/>
      <dgm:t>
        <a:bodyPr/>
        <a:lstStyle/>
        <a:p>
          <a:r>
            <a:rPr lang="pt-BR"/>
            <a:t>Padronização das informações</a:t>
          </a:r>
        </a:p>
      </dgm:t>
    </dgm:pt>
    <dgm:pt modelId="{17FCC9DE-0907-492E-BAAE-E403BDC490F2}" type="parTrans" cxnId="{F3522324-F913-4E5E-A1CB-647100926A7B}">
      <dgm:prSet/>
      <dgm:spPr/>
      <dgm:t>
        <a:bodyPr/>
        <a:lstStyle/>
        <a:p>
          <a:endParaRPr lang="pt-BR"/>
        </a:p>
      </dgm:t>
    </dgm:pt>
    <dgm:pt modelId="{A575E704-EE54-4BB3-8EDF-82420E4E071E}" type="sibTrans" cxnId="{F3522324-F913-4E5E-A1CB-647100926A7B}">
      <dgm:prSet/>
      <dgm:spPr/>
      <dgm:t>
        <a:bodyPr/>
        <a:lstStyle/>
        <a:p>
          <a:endParaRPr lang="pt-BR"/>
        </a:p>
      </dgm:t>
    </dgm:pt>
    <dgm:pt modelId="{D9107A63-812B-4280-AE64-58C5CC40691A}">
      <dgm:prSet/>
      <dgm:spPr/>
      <dgm:t>
        <a:bodyPr/>
        <a:lstStyle/>
        <a:p>
          <a:r>
            <a:rPr lang="pt-BR"/>
            <a:t>Ajustes do Algoritmo</a:t>
          </a:r>
        </a:p>
      </dgm:t>
    </dgm:pt>
    <dgm:pt modelId="{11759A9E-54A0-4898-A0BC-D61C8AA90E83}" type="parTrans" cxnId="{9F7A600D-F095-4CDC-BD1C-AB79E80D275E}">
      <dgm:prSet/>
      <dgm:spPr/>
      <dgm:t>
        <a:bodyPr/>
        <a:lstStyle/>
        <a:p>
          <a:endParaRPr lang="pt-BR"/>
        </a:p>
      </dgm:t>
    </dgm:pt>
    <dgm:pt modelId="{6371A91B-388B-4BBB-88AA-92F5FD6C4524}" type="sibTrans" cxnId="{9F7A600D-F095-4CDC-BD1C-AB79E80D275E}">
      <dgm:prSet/>
      <dgm:spPr/>
      <dgm:t>
        <a:bodyPr/>
        <a:lstStyle/>
        <a:p>
          <a:endParaRPr lang="pt-BR"/>
        </a:p>
      </dgm:t>
    </dgm:pt>
    <dgm:pt modelId="{C9D0B5BF-B7C3-4EE0-95D1-49FD73D05D79}">
      <dgm:prSet/>
      <dgm:spPr/>
      <dgm:t>
        <a:bodyPr/>
        <a:lstStyle/>
        <a:p>
          <a:r>
            <a:rPr lang="pt-BR"/>
            <a:t>Escolher modelo de machine learning</a:t>
          </a:r>
        </a:p>
      </dgm:t>
    </dgm:pt>
    <dgm:pt modelId="{0631D87C-B935-46D4-B8D7-C37BDF8C161E}" type="parTrans" cxnId="{D3B4CFF5-E51B-49BB-B4A0-38BCCD46F938}">
      <dgm:prSet/>
      <dgm:spPr/>
      <dgm:t>
        <a:bodyPr/>
        <a:lstStyle/>
        <a:p>
          <a:endParaRPr lang="pt-BR"/>
        </a:p>
      </dgm:t>
    </dgm:pt>
    <dgm:pt modelId="{244FB057-52B0-44FB-97CC-1164E148803F}" type="sibTrans" cxnId="{D3B4CFF5-E51B-49BB-B4A0-38BCCD46F938}">
      <dgm:prSet/>
      <dgm:spPr/>
      <dgm:t>
        <a:bodyPr/>
        <a:lstStyle/>
        <a:p>
          <a:endParaRPr lang="pt-BR"/>
        </a:p>
      </dgm:t>
    </dgm:pt>
    <dgm:pt modelId="{70569C37-479B-4282-8493-96925FB5E138}">
      <dgm:prSet/>
      <dgm:spPr/>
      <dgm:t>
        <a:bodyPr/>
        <a:lstStyle/>
        <a:p>
          <a:r>
            <a:rPr lang="pt-BR"/>
            <a:t>Treinamento</a:t>
          </a:r>
        </a:p>
      </dgm:t>
    </dgm:pt>
    <dgm:pt modelId="{4089A354-DC6D-40E7-87B3-0C0F4415491D}" type="parTrans" cxnId="{3590A758-80FA-468F-9003-068086753A6D}">
      <dgm:prSet/>
      <dgm:spPr/>
      <dgm:t>
        <a:bodyPr/>
        <a:lstStyle/>
        <a:p>
          <a:endParaRPr lang="pt-BR"/>
        </a:p>
      </dgm:t>
    </dgm:pt>
    <dgm:pt modelId="{FB80445F-B01A-48FE-A3BF-269762A5CC19}" type="sibTrans" cxnId="{3590A758-80FA-468F-9003-068086753A6D}">
      <dgm:prSet/>
      <dgm:spPr/>
      <dgm:t>
        <a:bodyPr/>
        <a:lstStyle/>
        <a:p>
          <a:endParaRPr lang="pt-BR"/>
        </a:p>
      </dgm:t>
    </dgm:pt>
    <dgm:pt modelId="{AB37859F-7C6D-4C76-BA45-0A0DBE373840}">
      <dgm:prSet/>
      <dgm:spPr/>
      <dgm:t>
        <a:bodyPr/>
        <a:lstStyle/>
        <a:p>
          <a:r>
            <a:rPr lang="pt-BR"/>
            <a:t>Decidir entre modelos supervisionados ou não</a:t>
          </a:r>
        </a:p>
      </dgm:t>
    </dgm:pt>
    <dgm:pt modelId="{B77CF93A-79A0-40E5-9396-0AD36524ACA0}" type="parTrans" cxnId="{619FA5A2-5D75-4827-9244-77F7D6B8BA70}">
      <dgm:prSet/>
      <dgm:spPr/>
      <dgm:t>
        <a:bodyPr/>
        <a:lstStyle/>
        <a:p>
          <a:endParaRPr lang="pt-BR"/>
        </a:p>
      </dgm:t>
    </dgm:pt>
    <dgm:pt modelId="{724CE4E5-4E73-4F11-BB7E-2CEDCD326054}" type="sibTrans" cxnId="{619FA5A2-5D75-4827-9244-77F7D6B8BA70}">
      <dgm:prSet/>
      <dgm:spPr/>
      <dgm:t>
        <a:bodyPr/>
        <a:lstStyle/>
        <a:p>
          <a:endParaRPr lang="pt-BR"/>
        </a:p>
      </dgm:t>
    </dgm:pt>
    <dgm:pt modelId="{C98E6EC7-F1DD-4059-AE72-4B5E07EA4C21}">
      <dgm:prSet/>
      <dgm:spPr/>
      <dgm:t>
        <a:bodyPr/>
        <a:lstStyle/>
        <a:p>
          <a:r>
            <a:rPr lang="pt-BR"/>
            <a:t>Comparar redes neurais e modelos estáticos</a:t>
          </a:r>
        </a:p>
      </dgm:t>
    </dgm:pt>
    <dgm:pt modelId="{E5F561AE-632D-4E0D-8517-D408AF389688}" type="parTrans" cxnId="{C26C2D1E-982F-4FDB-A1B6-25345F13A751}">
      <dgm:prSet/>
      <dgm:spPr/>
      <dgm:t>
        <a:bodyPr/>
        <a:lstStyle/>
        <a:p>
          <a:endParaRPr lang="pt-BR"/>
        </a:p>
      </dgm:t>
    </dgm:pt>
    <dgm:pt modelId="{2A483377-ED74-4F12-ABBB-30E5C6D00569}" type="sibTrans" cxnId="{C26C2D1E-982F-4FDB-A1B6-25345F13A751}">
      <dgm:prSet/>
      <dgm:spPr/>
      <dgm:t>
        <a:bodyPr/>
        <a:lstStyle/>
        <a:p>
          <a:endParaRPr lang="pt-BR"/>
        </a:p>
      </dgm:t>
    </dgm:pt>
    <dgm:pt modelId="{31105894-8FE9-4968-AFB7-DDB6BC538A2D}">
      <dgm:prSet/>
      <dgm:spPr/>
      <dgm:t>
        <a:bodyPr/>
        <a:lstStyle/>
        <a:p>
          <a:r>
            <a:rPr lang="pt-BR"/>
            <a:t>Analisar impacto do modelo no objetivo do projeto</a:t>
          </a:r>
        </a:p>
      </dgm:t>
    </dgm:pt>
    <dgm:pt modelId="{2B0C420F-9A4B-4275-B30A-C0ECE0EF9445}" type="parTrans" cxnId="{38C10A41-8B34-4F32-966D-F20264284BC1}">
      <dgm:prSet/>
      <dgm:spPr/>
      <dgm:t>
        <a:bodyPr/>
        <a:lstStyle/>
        <a:p>
          <a:endParaRPr lang="pt-BR"/>
        </a:p>
      </dgm:t>
    </dgm:pt>
    <dgm:pt modelId="{17246983-2F4B-45C6-B0E7-FBF6ECB46BC6}" type="sibTrans" cxnId="{38C10A41-8B34-4F32-966D-F20264284BC1}">
      <dgm:prSet/>
      <dgm:spPr/>
      <dgm:t>
        <a:bodyPr/>
        <a:lstStyle/>
        <a:p>
          <a:endParaRPr lang="pt-BR"/>
        </a:p>
      </dgm:t>
    </dgm:pt>
    <dgm:pt modelId="{ACC47AE5-8F11-4C89-A3BA-0142D6FF2B89}">
      <dgm:prSet/>
      <dgm:spPr/>
      <dgm:t>
        <a:bodyPr/>
        <a:lstStyle/>
        <a:p>
          <a:r>
            <a:rPr lang="pt-BR"/>
            <a:t>Selecionar modelo final</a:t>
          </a:r>
        </a:p>
      </dgm:t>
    </dgm:pt>
    <dgm:pt modelId="{84501513-03A8-4BD6-B53F-CC991DD051D2}" type="parTrans" cxnId="{EF2C1200-4EA1-4E21-A105-596011B10149}">
      <dgm:prSet/>
      <dgm:spPr/>
      <dgm:t>
        <a:bodyPr/>
        <a:lstStyle/>
        <a:p>
          <a:endParaRPr lang="pt-BR"/>
        </a:p>
      </dgm:t>
    </dgm:pt>
    <dgm:pt modelId="{6014BFB1-90D4-437A-80C1-446A72918B55}" type="sibTrans" cxnId="{EF2C1200-4EA1-4E21-A105-596011B10149}">
      <dgm:prSet/>
      <dgm:spPr/>
      <dgm:t>
        <a:bodyPr/>
        <a:lstStyle/>
        <a:p>
          <a:endParaRPr lang="pt-BR"/>
        </a:p>
      </dgm:t>
    </dgm:pt>
    <dgm:pt modelId="{A23A7438-E068-4208-882D-05EE6624A677}">
      <dgm:prSet/>
      <dgm:spPr/>
      <dgm:t>
        <a:bodyPr/>
        <a:lstStyle/>
        <a:p>
          <a:r>
            <a:rPr lang="pt-BR"/>
            <a:t>Separar dados para o treinamento</a:t>
          </a:r>
        </a:p>
      </dgm:t>
    </dgm:pt>
    <dgm:pt modelId="{C72D52AD-718E-4A36-941A-8F6E3156D78D}" type="parTrans" cxnId="{27A71BDB-9A54-4500-B930-9E07F8B1451A}">
      <dgm:prSet/>
      <dgm:spPr/>
      <dgm:t>
        <a:bodyPr/>
        <a:lstStyle/>
        <a:p>
          <a:endParaRPr lang="pt-BR"/>
        </a:p>
      </dgm:t>
    </dgm:pt>
    <dgm:pt modelId="{6589E9CA-E4EE-4275-BC11-F51B81B2FBF7}" type="sibTrans" cxnId="{27A71BDB-9A54-4500-B930-9E07F8B1451A}">
      <dgm:prSet/>
      <dgm:spPr/>
      <dgm:t>
        <a:bodyPr/>
        <a:lstStyle/>
        <a:p>
          <a:endParaRPr lang="pt-BR"/>
        </a:p>
      </dgm:t>
    </dgm:pt>
    <dgm:pt modelId="{862AA08E-DB59-43BF-A679-24491CE3C752}">
      <dgm:prSet/>
      <dgm:spPr/>
      <dgm:t>
        <a:bodyPr/>
        <a:lstStyle/>
        <a:p>
          <a:r>
            <a:rPr lang="pt-BR"/>
            <a:t>Testar balanceamento</a:t>
          </a:r>
        </a:p>
      </dgm:t>
    </dgm:pt>
    <dgm:pt modelId="{8B1732FA-F672-4156-8366-24B4BA91746E}" type="parTrans" cxnId="{2F20D4F1-099B-4748-9C18-CC183D43333C}">
      <dgm:prSet/>
      <dgm:spPr/>
      <dgm:t>
        <a:bodyPr/>
        <a:lstStyle/>
        <a:p>
          <a:endParaRPr lang="pt-BR"/>
        </a:p>
      </dgm:t>
    </dgm:pt>
    <dgm:pt modelId="{131BFFCA-3C5C-47F8-B761-4634E887A97E}" type="sibTrans" cxnId="{2F20D4F1-099B-4748-9C18-CC183D43333C}">
      <dgm:prSet/>
      <dgm:spPr/>
      <dgm:t>
        <a:bodyPr/>
        <a:lstStyle/>
        <a:p>
          <a:endParaRPr lang="pt-BR"/>
        </a:p>
      </dgm:t>
    </dgm:pt>
    <dgm:pt modelId="{9F399C56-2035-4132-B481-B1BF8BFEC6F6}">
      <dgm:prSet/>
      <dgm:spPr/>
      <dgm:t>
        <a:bodyPr/>
        <a:lstStyle/>
        <a:p>
          <a:r>
            <a:rPr lang="pt-BR"/>
            <a:t>Realizar multiplos testes</a:t>
          </a:r>
        </a:p>
      </dgm:t>
    </dgm:pt>
    <dgm:pt modelId="{9E5E61FA-69D4-4920-BA7E-984605DC83C4}" type="parTrans" cxnId="{47CA8A28-9E3A-4D9A-830B-6B0D996D3024}">
      <dgm:prSet/>
      <dgm:spPr/>
      <dgm:t>
        <a:bodyPr/>
        <a:lstStyle/>
        <a:p>
          <a:endParaRPr lang="pt-BR"/>
        </a:p>
      </dgm:t>
    </dgm:pt>
    <dgm:pt modelId="{EDB79454-AB94-4938-80F4-B81D03B438ED}" type="sibTrans" cxnId="{47CA8A28-9E3A-4D9A-830B-6B0D996D3024}">
      <dgm:prSet/>
      <dgm:spPr/>
      <dgm:t>
        <a:bodyPr/>
        <a:lstStyle/>
        <a:p>
          <a:endParaRPr lang="pt-BR"/>
        </a:p>
      </dgm:t>
    </dgm:pt>
    <dgm:pt modelId="{3A59B8F0-06D5-4FFA-9439-9975B80A847C}">
      <dgm:prSet/>
      <dgm:spPr/>
      <dgm:t>
        <a:bodyPr/>
        <a:lstStyle/>
        <a:p>
          <a:r>
            <a:rPr lang="pt-BR"/>
            <a:t>Comparar resultados</a:t>
          </a:r>
        </a:p>
      </dgm:t>
    </dgm:pt>
    <dgm:pt modelId="{6ED415ED-1D81-4829-9F99-E46EB3AF0B25}" type="parTrans" cxnId="{847BFCD6-5753-4851-A33F-9059BD3DCACA}">
      <dgm:prSet/>
      <dgm:spPr/>
      <dgm:t>
        <a:bodyPr/>
        <a:lstStyle/>
        <a:p>
          <a:endParaRPr lang="pt-BR"/>
        </a:p>
      </dgm:t>
    </dgm:pt>
    <dgm:pt modelId="{D35743D0-6C7D-4944-B34E-A612DB664C42}" type="sibTrans" cxnId="{847BFCD6-5753-4851-A33F-9059BD3DCACA}">
      <dgm:prSet/>
      <dgm:spPr/>
      <dgm:t>
        <a:bodyPr/>
        <a:lstStyle/>
        <a:p>
          <a:endParaRPr lang="pt-BR"/>
        </a:p>
      </dgm:t>
    </dgm:pt>
    <dgm:pt modelId="{9BDDE200-95E7-47FC-BBB2-110A2D6AA5D1}">
      <dgm:prSet/>
      <dgm:spPr/>
      <dgm:t>
        <a:bodyPr/>
        <a:lstStyle/>
        <a:p>
          <a:r>
            <a:rPr lang="pt-BR"/>
            <a:t>Verificar precisão</a:t>
          </a:r>
        </a:p>
      </dgm:t>
    </dgm:pt>
    <dgm:pt modelId="{AAB5C8A4-8FBE-4DCB-BA6E-BDB06D4023E4}" type="parTrans" cxnId="{1ABDCA22-28F8-4157-96D5-A56BFA999F3D}">
      <dgm:prSet/>
      <dgm:spPr/>
      <dgm:t>
        <a:bodyPr/>
        <a:lstStyle/>
        <a:p>
          <a:endParaRPr lang="pt-BR"/>
        </a:p>
      </dgm:t>
    </dgm:pt>
    <dgm:pt modelId="{93033178-A030-439F-B997-BD77D54E508A}" type="sibTrans" cxnId="{1ABDCA22-28F8-4157-96D5-A56BFA999F3D}">
      <dgm:prSet/>
      <dgm:spPr/>
      <dgm:t>
        <a:bodyPr/>
        <a:lstStyle/>
        <a:p>
          <a:endParaRPr lang="pt-BR"/>
        </a:p>
      </dgm:t>
    </dgm:pt>
    <dgm:pt modelId="{2096C503-0BA9-4EC3-B829-53412ECECC19}">
      <dgm:prSet/>
      <dgm:spPr/>
      <dgm:t>
        <a:bodyPr/>
        <a:lstStyle/>
        <a:p>
          <a:r>
            <a:rPr lang="pt-BR"/>
            <a:t>Comparar algoritmo com a referencia inicial</a:t>
          </a:r>
        </a:p>
      </dgm:t>
    </dgm:pt>
    <dgm:pt modelId="{EC92CD42-52C3-4740-8347-52E695781E28}" type="parTrans" cxnId="{D9A9539E-AD9F-4BA7-9C9C-CB249E0555AA}">
      <dgm:prSet/>
      <dgm:spPr/>
      <dgm:t>
        <a:bodyPr/>
        <a:lstStyle/>
        <a:p>
          <a:endParaRPr lang="pt-BR"/>
        </a:p>
      </dgm:t>
    </dgm:pt>
    <dgm:pt modelId="{27A39DC7-98FE-4659-95DC-3007AB4ADAA1}" type="sibTrans" cxnId="{D9A9539E-AD9F-4BA7-9C9C-CB249E0555AA}">
      <dgm:prSet/>
      <dgm:spPr/>
      <dgm:t>
        <a:bodyPr/>
        <a:lstStyle/>
        <a:p>
          <a:endParaRPr lang="pt-BR"/>
        </a:p>
      </dgm:t>
    </dgm:pt>
    <dgm:pt modelId="{27EDD41D-CE5B-4F05-BA23-80DEB47D6BC5}">
      <dgm:prSet/>
      <dgm:spPr/>
      <dgm:t>
        <a:bodyPr/>
        <a:lstStyle/>
        <a:p>
          <a:r>
            <a:rPr lang="pt-BR"/>
            <a:t>Otimizar código do algoritmo</a:t>
          </a:r>
        </a:p>
      </dgm:t>
    </dgm:pt>
    <dgm:pt modelId="{065C239D-A46E-4C09-8042-4C1A119F8BAA}" type="parTrans" cxnId="{1DB74817-F178-43BB-A243-4D4EFB52E61F}">
      <dgm:prSet/>
      <dgm:spPr/>
      <dgm:t>
        <a:bodyPr/>
        <a:lstStyle/>
        <a:p>
          <a:endParaRPr lang="pt-BR"/>
        </a:p>
      </dgm:t>
    </dgm:pt>
    <dgm:pt modelId="{20D081B3-1C7A-41FD-91A3-F262486BC0EC}" type="sibTrans" cxnId="{1DB74817-F178-43BB-A243-4D4EFB52E61F}">
      <dgm:prSet/>
      <dgm:spPr/>
      <dgm:t>
        <a:bodyPr/>
        <a:lstStyle/>
        <a:p>
          <a:endParaRPr lang="pt-BR"/>
        </a:p>
      </dgm:t>
    </dgm:pt>
    <dgm:pt modelId="{7C5C5049-7390-4327-A6D6-AB17FFC53A43}">
      <dgm:prSet/>
      <dgm:spPr/>
      <dgm:t>
        <a:bodyPr/>
        <a:lstStyle/>
        <a:p>
          <a:r>
            <a:rPr lang="pt-BR"/>
            <a:t>Definir arquitetura do projeto</a:t>
          </a:r>
        </a:p>
      </dgm:t>
    </dgm:pt>
    <dgm:pt modelId="{AB4D5491-8D3C-455C-93A1-80D4111B7887}" type="parTrans" cxnId="{23FFCFE0-B523-410B-B6F1-99CC967996E9}">
      <dgm:prSet/>
      <dgm:spPr/>
      <dgm:t>
        <a:bodyPr/>
        <a:lstStyle/>
        <a:p>
          <a:endParaRPr lang="pt-BR"/>
        </a:p>
      </dgm:t>
    </dgm:pt>
    <dgm:pt modelId="{5B318142-3C6B-415C-8001-319377E25645}" type="sibTrans" cxnId="{23FFCFE0-B523-410B-B6F1-99CC967996E9}">
      <dgm:prSet/>
      <dgm:spPr/>
      <dgm:t>
        <a:bodyPr/>
        <a:lstStyle/>
        <a:p>
          <a:endParaRPr lang="pt-BR"/>
        </a:p>
      </dgm:t>
    </dgm:pt>
    <dgm:pt modelId="{2CE28678-B80C-4E11-B66E-A7B453E759D3}">
      <dgm:prSet/>
      <dgm:spPr/>
      <dgm:t>
        <a:bodyPr/>
        <a:lstStyle/>
        <a:p>
          <a:r>
            <a:rPr lang="pt-BR"/>
            <a:t>Desenvolver Frontend</a:t>
          </a:r>
        </a:p>
      </dgm:t>
    </dgm:pt>
    <dgm:pt modelId="{B1BCAF03-FCBC-4A71-90B0-17D13F90A9C6}" type="parTrans" cxnId="{08019056-864E-4F12-B4B2-442C39FAB2E8}">
      <dgm:prSet/>
      <dgm:spPr/>
      <dgm:t>
        <a:bodyPr/>
        <a:lstStyle/>
        <a:p>
          <a:endParaRPr lang="pt-BR"/>
        </a:p>
      </dgm:t>
    </dgm:pt>
    <dgm:pt modelId="{484FB8F2-F979-487C-AB70-DE6BF5A8094A}" type="sibTrans" cxnId="{08019056-864E-4F12-B4B2-442C39FAB2E8}">
      <dgm:prSet/>
      <dgm:spPr/>
      <dgm:t>
        <a:bodyPr/>
        <a:lstStyle/>
        <a:p>
          <a:endParaRPr lang="pt-BR"/>
        </a:p>
      </dgm:t>
    </dgm:pt>
    <dgm:pt modelId="{5F7F4E39-AE1F-4254-A239-FC78884AB94F}">
      <dgm:prSet/>
      <dgm:spPr/>
      <dgm:t>
        <a:bodyPr/>
        <a:lstStyle/>
        <a:p>
          <a:r>
            <a:rPr lang="pt-BR"/>
            <a:t>Integrar com algoritmo IA</a:t>
          </a:r>
        </a:p>
      </dgm:t>
    </dgm:pt>
    <dgm:pt modelId="{09DDCA2F-5E54-411D-9F85-8088752AE4E5}" type="parTrans" cxnId="{93EED623-C6AF-4720-B1E1-FE4ABB349A56}">
      <dgm:prSet/>
      <dgm:spPr/>
      <dgm:t>
        <a:bodyPr/>
        <a:lstStyle/>
        <a:p>
          <a:endParaRPr lang="pt-BR"/>
        </a:p>
      </dgm:t>
    </dgm:pt>
    <dgm:pt modelId="{11A7A7D9-C91B-483C-A029-A6E1EC96A295}" type="sibTrans" cxnId="{93EED623-C6AF-4720-B1E1-FE4ABB349A56}">
      <dgm:prSet/>
      <dgm:spPr/>
      <dgm:t>
        <a:bodyPr/>
        <a:lstStyle/>
        <a:p>
          <a:endParaRPr lang="pt-BR"/>
        </a:p>
      </dgm:t>
    </dgm:pt>
    <dgm:pt modelId="{71A07EB7-D24F-449C-9C1B-C72090906ED6}">
      <dgm:prSet/>
      <dgm:spPr/>
      <dgm:t>
        <a:bodyPr/>
        <a:lstStyle/>
        <a:p>
          <a:r>
            <a:rPr lang="pt-BR"/>
            <a:t>Desenvolver aplicativo mobile</a:t>
          </a:r>
        </a:p>
      </dgm:t>
    </dgm:pt>
    <dgm:pt modelId="{775510F7-43CE-456A-B90C-3D3048207170}" type="parTrans" cxnId="{E4B2401F-5907-4885-B9F5-B6C4B712DF2F}">
      <dgm:prSet/>
      <dgm:spPr/>
      <dgm:t>
        <a:bodyPr/>
        <a:lstStyle/>
        <a:p>
          <a:endParaRPr lang="pt-BR"/>
        </a:p>
      </dgm:t>
    </dgm:pt>
    <dgm:pt modelId="{D17A99F8-F963-4756-99E3-B4FA770331ED}" type="sibTrans" cxnId="{E4B2401F-5907-4885-B9F5-B6C4B712DF2F}">
      <dgm:prSet/>
      <dgm:spPr/>
      <dgm:t>
        <a:bodyPr/>
        <a:lstStyle/>
        <a:p>
          <a:endParaRPr lang="pt-BR"/>
        </a:p>
      </dgm:t>
    </dgm:pt>
    <dgm:pt modelId="{96D368FE-2E72-4D13-B246-1FE8B850C602}">
      <dgm:prSet/>
      <dgm:spPr/>
      <dgm:t>
        <a:bodyPr/>
        <a:lstStyle/>
        <a:p>
          <a:r>
            <a:rPr lang="pt-BR"/>
            <a:t>Realizar Sketchs</a:t>
          </a:r>
        </a:p>
      </dgm:t>
    </dgm:pt>
    <dgm:pt modelId="{47798007-B9FC-47C6-8CAF-AD10352A4565}" type="parTrans" cxnId="{24225CD5-48FA-4E4A-A6E0-506CABA2C585}">
      <dgm:prSet/>
      <dgm:spPr/>
      <dgm:t>
        <a:bodyPr/>
        <a:lstStyle/>
        <a:p>
          <a:endParaRPr lang="pt-BR"/>
        </a:p>
      </dgm:t>
    </dgm:pt>
    <dgm:pt modelId="{66AD3E18-A1DD-4F54-9367-19AF7F0D85C2}" type="sibTrans" cxnId="{24225CD5-48FA-4E4A-A6E0-506CABA2C585}">
      <dgm:prSet/>
      <dgm:spPr/>
      <dgm:t>
        <a:bodyPr/>
        <a:lstStyle/>
        <a:p>
          <a:endParaRPr lang="pt-BR"/>
        </a:p>
      </dgm:t>
    </dgm:pt>
    <dgm:pt modelId="{61AAB74A-772D-40A8-8E4B-E08053C322A7}">
      <dgm:prSet/>
      <dgm:spPr/>
      <dgm:t>
        <a:bodyPr/>
        <a:lstStyle/>
        <a:p>
          <a:r>
            <a:rPr lang="pt-BR"/>
            <a:t>Conexão com APIs</a:t>
          </a:r>
        </a:p>
      </dgm:t>
    </dgm:pt>
    <dgm:pt modelId="{B1126516-B9CF-4FC9-9D9C-E0607D4610EB}" type="parTrans" cxnId="{E8490D49-0675-4EDC-B395-17442CEF5EBE}">
      <dgm:prSet/>
      <dgm:spPr/>
      <dgm:t>
        <a:bodyPr/>
        <a:lstStyle/>
        <a:p>
          <a:endParaRPr lang="pt-BR"/>
        </a:p>
      </dgm:t>
    </dgm:pt>
    <dgm:pt modelId="{23E7FD0B-5F27-4EC8-AD5D-2D3B5DF2115D}" type="sibTrans" cxnId="{E8490D49-0675-4EDC-B395-17442CEF5EBE}">
      <dgm:prSet/>
      <dgm:spPr/>
      <dgm:t>
        <a:bodyPr/>
        <a:lstStyle/>
        <a:p>
          <a:endParaRPr lang="pt-BR"/>
        </a:p>
      </dgm:t>
    </dgm:pt>
    <dgm:pt modelId="{24DF324B-17D5-4F41-B71F-0E5753E2637E}">
      <dgm:prSet/>
      <dgm:spPr/>
      <dgm:t>
        <a:bodyPr/>
        <a:lstStyle/>
        <a:p>
          <a:r>
            <a:rPr lang="pt-BR"/>
            <a:t>Exibir resultados do algoritmo ao usuario</a:t>
          </a:r>
        </a:p>
      </dgm:t>
    </dgm:pt>
    <dgm:pt modelId="{9E2FF34B-4953-4012-994C-B1999884A51A}" type="parTrans" cxnId="{EAC84489-DAC7-4769-B346-BB08D0D459E8}">
      <dgm:prSet/>
      <dgm:spPr/>
      <dgm:t>
        <a:bodyPr/>
        <a:lstStyle/>
        <a:p>
          <a:endParaRPr lang="pt-BR"/>
        </a:p>
      </dgm:t>
    </dgm:pt>
    <dgm:pt modelId="{7F2D8BBF-1BC9-46BA-B140-5A13F606C6D2}" type="sibTrans" cxnId="{EAC84489-DAC7-4769-B346-BB08D0D459E8}">
      <dgm:prSet/>
      <dgm:spPr/>
      <dgm:t>
        <a:bodyPr/>
        <a:lstStyle/>
        <a:p>
          <a:endParaRPr lang="pt-BR"/>
        </a:p>
      </dgm:t>
    </dgm:pt>
    <dgm:pt modelId="{60FA8CC8-9172-4D54-8215-C833E5BAEAF3}">
      <dgm:prSet/>
      <dgm:spPr/>
      <dgm:t>
        <a:bodyPr/>
        <a:lstStyle/>
        <a:p>
          <a:r>
            <a:rPr lang="pt-BR"/>
            <a:t>Teste de integração</a:t>
          </a:r>
        </a:p>
      </dgm:t>
    </dgm:pt>
    <dgm:pt modelId="{95D4969D-21C2-48E7-B9F4-2935D5B369F5}" type="parTrans" cxnId="{94652D2B-D438-4692-B6A0-D6EDB203D54E}">
      <dgm:prSet/>
      <dgm:spPr/>
      <dgm:t>
        <a:bodyPr/>
        <a:lstStyle/>
        <a:p>
          <a:endParaRPr lang="pt-BR"/>
        </a:p>
      </dgm:t>
    </dgm:pt>
    <dgm:pt modelId="{82042400-1BD3-44D7-8E85-91BEFED3503B}" type="sibTrans" cxnId="{94652D2B-D438-4692-B6A0-D6EDB203D54E}">
      <dgm:prSet/>
      <dgm:spPr/>
      <dgm:t>
        <a:bodyPr/>
        <a:lstStyle/>
        <a:p>
          <a:endParaRPr lang="pt-BR"/>
        </a:p>
      </dgm:t>
    </dgm:pt>
    <dgm:pt modelId="{BB3F3372-8126-4967-8DB2-6157162F4B48}">
      <dgm:prSet/>
      <dgm:spPr/>
      <dgm:t>
        <a:bodyPr/>
        <a:lstStyle/>
        <a:p>
          <a:r>
            <a:rPr lang="pt-BR"/>
            <a:t>Teste end to end</a:t>
          </a:r>
        </a:p>
      </dgm:t>
    </dgm:pt>
    <dgm:pt modelId="{C4F5EC2E-8188-4E03-84C4-040C45AD4E69}" type="parTrans" cxnId="{3D4039B1-8191-4393-A3D9-6D98613C5F7B}">
      <dgm:prSet/>
      <dgm:spPr/>
      <dgm:t>
        <a:bodyPr/>
        <a:lstStyle/>
        <a:p>
          <a:endParaRPr lang="pt-BR"/>
        </a:p>
      </dgm:t>
    </dgm:pt>
    <dgm:pt modelId="{FD93E0B5-1FC7-4835-A361-563CF7967B84}" type="sibTrans" cxnId="{3D4039B1-8191-4393-A3D9-6D98613C5F7B}">
      <dgm:prSet/>
      <dgm:spPr/>
      <dgm:t>
        <a:bodyPr/>
        <a:lstStyle/>
        <a:p>
          <a:endParaRPr lang="pt-BR"/>
        </a:p>
      </dgm:t>
    </dgm:pt>
    <dgm:pt modelId="{BD6CA9F7-66FF-4793-A477-7DE3D96A2613}">
      <dgm:prSet/>
      <dgm:spPr/>
      <dgm:t>
        <a:bodyPr/>
        <a:lstStyle/>
        <a:p>
          <a:r>
            <a:rPr lang="pt-BR"/>
            <a:t>Aplicar campanha de divulgação</a:t>
          </a:r>
        </a:p>
      </dgm:t>
    </dgm:pt>
    <dgm:pt modelId="{C3568772-926B-4B72-AF1B-D5186B8686DF}" type="parTrans" cxnId="{9FE89A6D-8C4E-409B-999B-321EC9D281F1}">
      <dgm:prSet/>
      <dgm:spPr/>
      <dgm:t>
        <a:bodyPr/>
        <a:lstStyle/>
        <a:p>
          <a:endParaRPr lang="pt-BR"/>
        </a:p>
      </dgm:t>
    </dgm:pt>
    <dgm:pt modelId="{0C9DBF9B-40E5-49C4-8B6C-FECC8845B539}" type="sibTrans" cxnId="{9FE89A6D-8C4E-409B-999B-321EC9D281F1}">
      <dgm:prSet/>
      <dgm:spPr/>
      <dgm:t>
        <a:bodyPr/>
        <a:lstStyle/>
        <a:p>
          <a:endParaRPr lang="pt-BR"/>
        </a:p>
      </dgm:t>
    </dgm:pt>
    <dgm:pt modelId="{96F27F87-8D0C-4793-8DD2-80C1CEA6C8D0}">
      <dgm:prSet/>
      <dgm:spPr/>
      <dgm:t>
        <a:bodyPr/>
        <a:lstStyle/>
        <a:p>
          <a:r>
            <a:rPr lang="pt-BR"/>
            <a:t>Montar estratégia de lançamento</a:t>
          </a:r>
        </a:p>
      </dgm:t>
    </dgm:pt>
    <dgm:pt modelId="{A835A1B4-BD67-4C20-92E4-DC1650A22BAF}" type="parTrans" cxnId="{A610AE3A-E71E-4DEE-A4F3-F80119A5669D}">
      <dgm:prSet/>
      <dgm:spPr/>
      <dgm:t>
        <a:bodyPr/>
        <a:lstStyle/>
        <a:p>
          <a:endParaRPr lang="pt-BR"/>
        </a:p>
      </dgm:t>
    </dgm:pt>
    <dgm:pt modelId="{CA1BDF1E-7812-4742-A4C0-B36EC01588C2}" type="sibTrans" cxnId="{A610AE3A-E71E-4DEE-A4F3-F80119A5669D}">
      <dgm:prSet/>
      <dgm:spPr/>
      <dgm:t>
        <a:bodyPr/>
        <a:lstStyle/>
        <a:p>
          <a:endParaRPr lang="pt-BR"/>
        </a:p>
      </dgm:t>
    </dgm:pt>
    <dgm:pt modelId="{3CD466A9-47B9-40B6-A811-E4386C5CEFD3}">
      <dgm:prSet/>
      <dgm:spPr/>
      <dgm:t>
        <a:bodyPr/>
        <a:lstStyle/>
        <a:p>
          <a:r>
            <a:rPr lang="pt-BR"/>
            <a:t>Selecionar possiveis parcerias</a:t>
          </a:r>
        </a:p>
      </dgm:t>
    </dgm:pt>
    <dgm:pt modelId="{2E790CF7-B1E3-44BC-8F1D-75554DDB4AE8}" type="parTrans" cxnId="{6C1E5B2E-42A9-4EE9-8B6E-70FF6E5F5C46}">
      <dgm:prSet/>
      <dgm:spPr/>
      <dgm:t>
        <a:bodyPr/>
        <a:lstStyle/>
        <a:p>
          <a:endParaRPr lang="pt-BR"/>
        </a:p>
      </dgm:t>
    </dgm:pt>
    <dgm:pt modelId="{B5B060AC-5CF9-4E15-8A92-F49587695429}" type="sibTrans" cxnId="{6C1E5B2E-42A9-4EE9-8B6E-70FF6E5F5C46}">
      <dgm:prSet/>
      <dgm:spPr/>
      <dgm:t>
        <a:bodyPr/>
        <a:lstStyle/>
        <a:p>
          <a:endParaRPr lang="pt-BR"/>
        </a:p>
      </dgm:t>
    </dgm:pt>
    <dgm:pt modelId="{C189270E-B1F9-4E36-A869-174CBED918BD}">
      <dgm:prSet/>
      <dgm:spPr/>
      <dgm:t>
        <a:bodyPr/>
        <a:lstStyle/>
        <a:p>
          <a:r>
            <a:rPr lang="pt-BR"/>
            <a:t>Testar aceitação do usuarios</a:t>
          </a:r>
        </a:p>
      </dgm:t>
    </dgm:pt>
    <dgm:pt modelId="{5E32540D-86C2-420F-AD04-172572619921}" type="parTrans" cxnId="{B3CC7796-D193-48FA-A5B5-748166389F41}">
      <dgm:prSet/>
      <dgm:spPr/>
      <dgm:t>
        <a:bodyPr/>
        <a:lstStyle/>
        <a:p>
          <a:endParaRPr lang="pt-BR"/>
        </a:p>
      </dgm:t>
    </dgm:pt>
    <dgm:pt modelId="{06D042F1-078F-439F-A60E-547F3BA77C1C}" type="sibTrans" cxnId="{B3CC7796-D193-48FA-A5B5-748166389F41}">
      <dgm:prSet/>
      <dgm:spPr/>
      <dgm:t>
        <a:bodyPr/>
        <a:lstStyle/>
        <a:p>
          <a:endParaRPr lang="pt-BR"/>
        </a:p>
      </dgm:t>
    </dgm:pt>
    <dgm:pt modelId="{3830D530-B807-4E12-8005-8D73925574FC}">
      <dgm:prSet/>
      <dgm:spPr/>
      <dgm:t>
        <a:bodyPr/>
        <a:lstStyle/>
        <a:p>
          <a:r>
            <a:rPr lang="pt-BR"/>
            <a:t>Atualização day 1</a:t>
          </a:r>
        </a:p>
      </dgm:t>
    </dgm:pt>
    <dgm:pt modelId="{7D76BBE0-50C9-432B-9B96-95DA9927123E}" type="parTrans" cxnId="{B2F7D0BE-DB5D-469B-BFDA-F47BEE6F9CF4}">
      <dgm:prSet/>
      <dgm:spPr/>
      <dgm:t>
        <a:bodyPr/>
        <a:lstStyle/>
        <a:p>
          <a:endParaRPr lang="pt-BR"/>
        </a:p>
      </dgm:t>
    </dgm:pt>
    <dgm:pt modelId="{3598E4D7-BA1A-46F0-8AF9-971AA6E3394A}" type="sibTrans" cxnId="{B2F7D0BE-DB5D-469B-BFDA-F47BEE6F9CF4}">
      <dgm:prSet/>
      <dgm:spPr/>
      <dgm:t>
        <a:bodyPr/>
        <a:lstStyle/>
        <a:p>
          <a:endParaRPr lang="pt-BR"/>
        </a:p>
      </dgm:t>
    </dgm:pt>
    <dgm:pt modelId="{3F2861CF-87A5-48DB-AB8C-B489C827C624}">
      <dgm:prSet/>
      <dgm:spPr/>
      <dgm:t>
        <a:bodyPr/>
        <a:lstStyle/>
        <a:p>
          <a:r>
            <a:rPr lang="pt-BR"/>
            <a:t>Suporte inicial</a:t>
          </a:r>
        </a:p>
      </dgm:t>
    </dgm:pt>
    <dgm:pt modelId="{EB4C3FFE-B974-4068-9F6C-3D1366C2C293}" type="parTrans" cxnId="{08BCB177-AD7C-4D69-B246-B2366BB3107D}">
      <dgm:prSet/>
      <dgm:spPr/>
      <dgm:t>
        <a:bodyPr/>
        <a:lstStyle/>
        <a:p>
          <a:endParaRPr lang="pt-BR"/>
        </a:p>
      </dgm:t>
    </dgm:pt>
    <dgm:pt modelId="{817BECA9-E9EA-4BC1-88C5-0A593382707B}" type="sibTrans" cxnId="{08BCB177-AD7C-4D69-B246-B2366BB3107D}">
      <dgm:prSet/>
      <dgm:spPr/>
      <dgm:t>
        <a:bodyPr/>
        <a:lstStyle/>
        <a:p>
          <a:endParaRPr lang="pt-BR"/>
        </a:p>
      </dgm:t>
    </dgm:pt>
    <dgm:pt modelId="{47BB9E9A-2EF6-4529-9890-DF601145B34C}">
      <dgm:prSet/>
      <dgm:spPr/>
      <dgm:t>
        <a:bodyPr/>
        <a:lstStyle/>
        <a:p>
          <a:r>
            <a:rPr lang="pt-BR"/>
            <a:t>Aplicar mudanças baseados nos feedbacks de usuário</a:t>
          </a:r>
        </a:p>
      </dgm:t>
    </dgm:pt>
    <dgm:pt modelId="{9C8C4987-BC2D-402D-BB08-E7A5C227664E}" type="parTrans" cxnId="{DBF3B111-58CE-451E-8E6D-6C8D289AC1AC}">
      <dgm:prSet/>
      <dgm:spPr/>
      <dgm:t>
        <a:bodyPr/>
        <a:lstStyle/>
        <a:p>
          <a:endParaRPr lang="pt-BR"/>
        </a:p>
      </dgm:t>
    </dgm:pt>
    <dgm:pt modelId="{9F985820-A59B-49C7-AB1A-95E7194084AD}" type="sibTrans" cxnId="{DBF3B111-58CE-451E-8E6D-6C8D289AC1AC}">
      <dgm:prSet/>
      <dgm:spPr/>
      <dgm:t>
        <a:bodyPr/>
        <a:lstStyle/>
        <a:p>
          <a:endParaRPr lang="pt-BR"/>
        </a:p>
      </dgm:t>
    </dgm:pt>
    <dgm:pt modelId="{E0998D6C-2644-4325-8B67-3F85FF7AC556}">
      <dgm:prSet/>
      <dgm:spPr/>
      <dgm:t>
        <a:bodyPr/>
        <a:lstStyle/>
        <a:p>
          <a:r>
            <a:rPr lang="pt-BR"/>
            <a:t>Levantamento de feedback</a:t>
          </a:r>
        </a:p>
      </dgm:t>
    </dgm:pt>
    <dgm:pt modelId="{8A07528D-F4B0-4FB4-8FA7-DDEC9A7051B2}" type="parTrans" cxnId="{6C604551-A6A3-4243-AB35-5DFC35C27893}">
      <dgm:prSet/>
      <dgm:spPr/>
      <dgm:t>
        <a:bodyPr/>
        <a:lstStyle/>
        <a:p>
          <a:endParaRPr lang="pt-BR"/>
        </a:p>
      </dgm:t>
    </dgm:pt>
    <dgm:pt modelId="{D9AE9A17-4318-4C99-AD50-9124197F72DB}" type="sibTrans" cxnId="{6C604551-A6A3-4243-AB35-5DFC35C27893}">
      <dgm:prSet/>
      <dgm:spPr/>
      <dgm:t>
        <a:bodyPr/>
        <a:lstStyle/>
        <a:p>
          <a:endParaRPr lang="pt-BR"/>
        </a:p>
      </dgm:t>
    </dgm:pt>
    <dgm:pt modelId="{9080C49B-FE4D-48E7-997C-D8CBD46ED5D9}">
      <dgm:prSet/>
      <dgm:spPr/>
      <dgm:t>
        <a:bodyPr/>
        <a:lstStyle/>
        <a:p>
          <a:r>
            <a:rPr lang="pt-BR"/>
            <a:t>Melhoria contínua</a:t>
          </a:r>
        </a:p>
      </dgm:t>
    </dgm:pt>
    <dgm:pt modelId="{9ED8F46A-F79E-423E-9B0A-B1B2E210D980}" type="parTrans" cxnId="{EC068630-DDA9-41D5-B416-26A3EAC4A5F9}">
      <dgm:prSet/>
      <dgm:spPr/>
      <dgm:t>
        <a:bodyPr/>
        <a:lstStyle/>
        <a:p>
          <a:endParaRPr lang="pt-BR"/>
        </a:p>
      </dgm:t>
    </dgm:pt>
    <dgm:pt modelId="{9E078E32-CC3D-4302-ACED-5AB78E210D35}" type="sibTrans" cxnId="{EC068630-DDA9-41D5-B416-26A3EAC4A5F9}">
      <dgm:prSet/>
      <dgm:spPr/>
      <dgm:t>
        <a:bodyPr/>
        <a:lstStyle/>
        <a:p>
          <a:endParaRPr lang="pt-BR"/>
        </a:p>
      </dgm:t>
    </dgm:pt>
    <dgm:pt modelId="{FF0FD6ED-6749-448D-9145-444F79A1C354}">
      <dgm:prSet/>
      <dgm:spPr/>
      <dgm:t>
        <a:bodyPr/>
        <a:lstStyle/>
        <a:p>
          <a:r>
            <a:rPr lang="pt-BR"/>
            <a:t>Ajustes baseando-se em dados coletados</a:t>
          </a:r>
        </a:p>
      </dgm:t>
    </dgm:pt>
    <dgm:pt modelId="{9B76133A-58E1-425C-A6DC-773F9755ED1D}" type="parTrans" cxnId="{E7FB8C38-C6C0-4564-9F46-23B455D666B3}">
      <dgm:prSet/>
      <dgm:spPr/>
      <dgm:t>
        <a:bodyPr/>
        <a:lstStyle/>
        <a:p>
          <a:endParaRPr lang="pt-BR"/>
        </a:p>
      </dgm:t>
    </dgm:pt>
    <dgm:pt modelId="{AE7CB3BA-1943-4426-8418-937A0E7E87C5}" type="sibTrans" cxnId="{E7FB8C38-C6C0-4564-9F46-23B455D666B3}">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9"/>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9" custScaleX="138775" custLinFactNeighborX="-2261">
        <dgm:presLayoutVars>
          <dgm:chPref val="3"/>
        </dgm:presLayoutVars>
      </dgm:prSet>
      <dgm:spPr/>
    </dgm:pt>
    <dgm:pt modelId="{CFC31A14-C94F-4A30-A37D-372AB6BB600E}" type="pres">
      <dgm:prSet presAssocID="{8D244D8F-C792-40BC-A511-7DE39E45E194}" presName="rootConnector" presStyleLbl="node2" presStyleIdx="0" presStyleCnt="9"/>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28"/>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28">
        <dgm:presLayoutVars>
          <dgm:chPref val="3"/>
        </dgm:presLayoutVars>
      </dgm:prSet>
      <dgm:spPr/>
    </dgm:pt>
    <dgm:pt modelId="{45896F72-DCDE-404C-8364-99656B71FFED}" type="pres">
      <dgm:prSet presAssocID="{B6389D6D-8AE5-4B3C-9BF6-CF7D2B974EDD}" presName="rootConnector" presStyleLbl="node3" presStyleIdx="0" presStyleCnt="28"/>
      <dgm:spPr/>
    </dgm:pt>
    <dgm:pt modelId="{09EFDB36-E5B0-4407-8281-5D4F42D16FE0}" type="pres">
      <dgm:prSet presAssocID="{B6389D6D-8AE5-4B3C-9BF6-CF7D2B974EDD}" presName="hierChild4" presStyleCnt="0"/>
      <dgm:spPr/>
    </dgm:pt>
    <dgm:pt modelId="{9215BC5C-EF28-46E3-9D29-189760EA6127}" type="pres">
      <dgm:prSet presAssocID="{D8EE6B38-0E4D-456A-81EC-D7BD003387D9}" presName="Name37" presStyleLbl="parChTrans1D4" presStyleIdx="0" presStyleCnt="24"/>
      <dgm:spPr/>
    </dgm:pt>
    <dgm:pt modelId="{BD8E765B-1EC6-4940-8B35-44B4ECA8F999}" type="pres">
      <dgm:prSet presAssocID="{61B98582-12DE-4D2E-98B1-559B83192F52}" presName="hierRoot2" presStyleCnt="0">
        <dgm:presLayoutVars>
          <dgm:hierBranch val="init"/>
        </dgm:presLayoutVars>
      </dgm:prSet>
      <dgm:spPr/>
    </dgm:pt>
    <dgm:pt modelId="{5170185D-F74B-4A29-A0AE-A907E148C8B9}" type="pres">
      <dgm:prSet presAssocID="{61B98582-12DE-4D2E-98B1-559B83192F52}" presName="rootComposite" presStyleCnt="0"/>
      <dgm:spPr/>
    </dgm:pt>
    <dgm:pt modelId="{79BC1533-D80B-400B-9906-B028A22E2881}" type="pres">
      <dgm:prSet presAssocID="{61B98582-12DE-4D2E-98B1-559B83192F52}" presName="rootText" presStyleLbl="node4" presStyleIdx="0" presStyleCnt="24">
        <dgm:presLayoutVars>
          <dgm:chPref val="3"/>
        </dgm:presLayoutVars>
      </dgm:prSet>
      <dgm:spPr/>
    </dgm:pt>
    <dgm:pt modelId="{9FD57774-E8E2-4590-B5BB-19A8C7DAA675}" type="pres">
      <dgm:prSet presAssocID="{61B98582-12DE-4D2E-98B1-559B83192F52}" presName="rootConnector" presStyleLbl="node4" presStyleIdx="0" presStyleCnt="24"/>
      <dgm:spPr/>
    </dgm:pt>
    <dgm:pt modelId="{4B4D344C-D73D-48D5-80A1-15F038681A17}" type="pres">
      <dgm:prSet presAssocID="{61B98582-12DE-4D2E-98B1-559B83192F52}" presName="hierChild4" presStyleCnt="0"/>
      <dgm:spPr/>
    </dgm:pt>
    <dgm:pt modelId="{B0D6A3D7-C713-4211-9FB9-876407D906C3}" type="pres">
      <dgm:prSet presAssocID="{61B98582-12DE-4D2E-98B1-559B83192F52}" presName="hierChild5" presStyleCnt="0"/>
      <dgm:spPr/>
    </dgm:pt>
    <dgm:pt modelId="{C08BDE50-7763-40E4-9D62-749F9B612003}" type="pres">
      <dgm:prSet presAssocID="{01508D33-8B5E-4B5D-BC96-47F974BD0E70}" presName="Name37" presStyleLbl="parChTrans1D4" presStyleIdx="1" presStyleCnt="24"/>
      <dgm:spPr/>
    </dgm:pt>
    <dgm:pt modelId="{4D5CE3FB-4C42-4F5E-8945-A2F37E436AD8}" type="pres">
      <dgm:prSet presAssocID="{EF922BA1-6C35-4861-8263-B39C0D1CB551}" presName="hierRoot2" presStyleCnt="0">
        <dgm:presLayoutVars>
          <dgm:hierBranch val="init"/>
        </dgm:presLayoutVars>
      </dgm:prSet>
      <dgm:spPr/>
    </dgm:pt>
    <dgm:pt modelId="{41C25442-D6C1-489A-85CC-70F368F3FA27}" type="pres">
      <dgm:prSet presAssocID="{EF922BA1-6C35-4861-8263-B39C0D1CB551}" presName="rootComposite" presStyleCnt="0"/>
      <dgm:spPr/>
    </dgm:pt>
    <dgm:pt modelId="{DE9B3B8C-E94A-4323-BD39-0F71D93BF605}" type="pres">
      <dgm:prSet presAssocID="{EF922BA1-6C35-4861-8263-B39C0D1CB551}" presName="rootText" presStyleLbl="node4" presStyleIdx="1" presStyleCnt="24">
        <dgm:presLayoutVars>
          <dgm:chPref val="3"/>
        </dgm:presLayoutVars>
      </dgm:prSet>
      <dgm:spPr/>
    </dgm:pt>
    <dgm:pt modelId="{5AD1D99B-9A1D-4ED1-B429-2592B2280DC8}" type="pres">
      <dgm:prSet presAssocID="{EF922BA1-6C35-4861-8263-B39C0D1CB551}" presName="rootConnector" presStyleLbl="node4" presStyleIdx="1" presStyleCnt="24"/>
      <dgm:spPr/>
    </dgm:pt>
    <dgm:pt modelId="{F29B9D6A-B623-4AE6-9E9D-84CB8686D35A}" type="pres">
      <dgm:prSet presAssocID="{EF922BA1-6C35-4861-8263-B39C0D1CB551}" presName="hierChild4" presStyleCnt="0"/>
      <dgm:spPr/>
    </dgm:pt>
    <dgm:pt modelId="{E28AD5BA-AF96-4C1E-A2E7-F8E7C3C2D328}" type="pres">
      <dgm:prSet presAssocID="{EF922BA1-6C35-4861-8263-B39C0D1CB551}" presName="hierChild5" presStyleCnt="0"/>
      <dgm:spPr/>
    </dgm:pt>
    <dgm:pt modelId="{53EDB683-E294-4AA8-865E-A34149A45E7B}" type="pres">
      <dgm:prSet presAssocID="{59D0DEF8-EA5F-4DC8-8392-680DDEE825F4}" presName="Name37" presStyleLbl="parChTrans1D4" presStyleIdx="2" presStyleCnt="24"/>
      <dgm:spPr/>
    </dgm:pt>
    <dgm:pt modelId="{C7A83D5F-ED31-4469-A02B-9E0410B1A012}" type="pres">
      <dgm:prSet presAssocID="{4E449FBA-D799-4060-9893-01C39471A7F5}" presName="hierRoot2" presStyleCnt="0">
        <dgm:presLayoutVars>
          <dgm:hierBranch val="init"/>
        </dgm:presLayoutVars>
      </dgm:prSet>
      <dgm:spPr/>
    </dgm:pt>
    <dgm:pt modelId="{E92F83E4-E47F-479A-A10E-33C92106C350}" type="pres">
      <dgm:prSet presAssocID="{4E449FBA-D799-4060-9893-01C39471A7F5}" presName="rootComposite" presStyleCnt="0"/>
      <dgm:spPr/>
    </dgm:pt>
    <dgm:pt modelId="{1AC9D135-5D83-4305-8BBE-31B08A84BDBD}" type="pres">
      <dgm:prSet presAssocID="{4E449FBA-D799-4060-9893-01C39471A7F5}" presName="rootText" presStyleLbl="node4" presStyleIdx="2" presStyleCnt="24">
        <dgm:presLayoutVars>
          <dgm:chPref val="3"/>
        </dgm:presLayoutVars>
      </dgm:prSet>
      <dgm:spPr/>
    </dgm:pt>
    <dgm:pt modelId="{0EEC5D51-CF9D-4411-A473-AB4E3B268702}" type="pres">
      <dgm:prSet presAssocID="{4E449FBA-D799-4060-9893-01C39471A7F5}" presName="rootConnector" presStyleLbl="node4" presStyleIdx="2" presStyleCnt="24"/>
      <dgm:spPr/>
    </dgm:pt>
    <dgm:pt modelId="{C04D72D3-B02F-43E0-A872-972839EF5D22}" type="pres">
      <dgm:prSet presAssocID="{4E449FBA-D799-4060-9893-01C39471A7F5}" presName="hierChild4" presStyleCnt="0"/>
      <dgm:spPr/>
    </dgm:pt>
    <dgm:pt modelId="{E28F2781-53DB-4230-B889-40AA2949CF21}" type="pres">
      <dgm:prSet presAssocID="{4E449FBA-D799-4060-9893-01C39471A7F5}" presName="hierChild5"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28"/>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28">
        <dgm:presLayoutVars>
          <dgm:chPref val="3"/>
        </dgm:presLayoutVars>
      </dgm:prSet>
      <dgm:spPr/>
    </dgm:pt>
    <dgm:pt modelId="{E332D8F5-24D1-438A-A88D-967661A9895B}" type="pres">
      <dgm:prSet presAssocID="{939AE253-A7E2-4EBA-B997-5913C2301F5A}" presName="rootConnector" presStyleLbl="node3" presStyleIdx="1" presStyleCnt="28"/>
      <dgm:spPr/>
    </dgm:pt>
    <dgm:pt modelId="{0945C784-5EB4-4170-B227-C25054AACF2B}" type="pres">
      <dgm:prSet presAssocID="{939AE253-A7E2-4EBA-B997-5913C2301F5A}" presName="hierChild4" presStyleCnt="0"/>
      <dgm:spPr/>
    </dgm:pt>
    <dgm:pt modelId="{C283A356-7898-4FFE-8B50-6FA2258CC574}" type="pres">
      <dgm:prSet presAssocID="{8C625B3A-41BB-4E27-8E82-FF4DDFA1FAD9}" presName="Name37" presStyleLbl="parChTrans1D4" presStyleIdx="3" presStyleCnt="24"/>
      <dgm:spPr/>
    </dgm:pt>
    <dgm:pt modelId="{76A1305E-87D2-4CA9-A913-B421FF56EC29}" type="pres">
      <dgm:prSet presAssocID="{FE2301CC-0370-47FA-A15F-0270F29223F2}" presName="hierRoot2" presStyleCnt="0">
        <dgm:presLayoutVars>
          <dgm:hierBranch val="init"/>
        </dgm:presLayoutVars>
      </dgm:prSet>
      <dgm:spPr/>
    </dgm:pt>
    <dgm:pt modelId="{99F396CA-7760-4D2A-A164-5885FA565091}" type="pres">
      <dgm:prSet presAssocID="{FE2301CC-0370-47FA-A15F-0270F29223F2}" presName="rootComposite" presStyleCnt="0"/>
      <dgm:spPr/>
    </dgm:pt>
    <dgm:pt modelId="{C5CAB220-082C-4CFE-A0E8-A1D29E7FD8E3}" type="pres">
      <dgm:prSet presAssocID="{FE2301CC-0370-47FA-A15F-0270F29223F2}" presName="rootText" presStyleLbl="node4" presStyleIdx="3" presStyleCnt="24">
        <dgm:presLayoutVars>
          <dgm:chPref val="3"/>
        </dgm:presLayoutVars>
      </dgm:prSet>
      <dgm:spPr/>
    </dgm:pt>
    <dgm:pt modelId="{FC73CBC6-1891-4E32-A99F-556859D5F3EA}" type="pres">
      <dgm:prSet presAssocID="{FE2301CC-0370-47FA-A15F-0270F29223F2}" presName="rootConnector" presStyleLbl="node4" presStyleIdx="3" presStyleCnt="24"/>
      <dgm:spPr/>
    </dgm:pt>
    <dgm:pt modelId="{F3791118-BD58-49A7-A019-0D35CAB824D2}" type="pres">
      <dgm:prSet presAssocID="{FE2301CC-0370-47FA-A15F-0270F29223F2}" presName="hierChild4" presStyleCnt="0"/>
      <dgm:spPr/>
    </dgm:pt>
    <dgm:pt modelId="{96CF1FBD-8421-4744-B2BA-30E2022AD2AD}" type="pres">
      <dgm:prSet presAssocID="{FE2301CC-0370-47FA-A15F-0270F29223F2}" presName="hierChild5"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28"/>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28" custLinFactNeighborX="-2844" custLinFactNeighborY="0">
        <dgm:presLayoutVars>
          <dgm:chPref val="3"/>
        </dgm:presLayoutVars>
      </dgm:prSet>
      <dgm:spPr/>
    </dgm:pt>
    <dgm:pt modelId="{D3BF38C4-1821-483A-AF26-C595ECE3E4B8}" type="pres">
      <dgm:prSet presAssocID="{6ED531EE-0BC7-4118-B43F-7D8D436633A8}" presName="rootConnector" presStyleLbl="node3" presStyleIdx="2" presStyleCnt="28"/>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0A19E82D-8E6C-4C7E-B889-87BAFCC766F7}" type="pres">
      <dgm:prSet presAssocID="{B1F9E257-306A-4E60-9134-F429C9B2CE40}" presName="Name37" presStyleLbl="parChTrans1D3" presStyleIdx="3" presStyleCnt="28"/>
      <dgm:spPr/>
    </dgm:pt>
    <dgm:pt modelId="{D069B9D7-EF0F-44DB-AC23-D24CE297BC8B}" type="pres">
      <dgm:prSet presAssocID="{14677D57-6C42-491D-8659-1D0EAAA481A6}" presName="hierRoot2" presStyleCnt="0">
        <dgm:presLayoutVars>
          <dgm:hierBranch val="init"/>
        </dgm:presLayoutVars>
      </dgm:prSet>
      <dgm:spPr/>
    </dgm:pt>
    <dgm:pt modelId="{38BC6558-170D-4805-B70E-9B8D480EE5D7}" type="pres">
      <dgm:prSet presAssocID="{14677D57-6C42-491D-8659-1D0EAAA481A6}" presName="rootComposite" presStyleCnt="0"/>
      <dgm:spPr/>
    </dgm:pt>
    <dgm:pt modelId="{2DFFEEBC-2405-41F6-B859-471D8D802CB3}" type="pres">
      <dgm:prSet presAssocID="{14677D57-6C42-491D-8659-1D0EAAA481A6}" presName="rootText" presStyleLbl="node3" presStyleIdx="3" presStyleCnt="28">
        <dgm:presLayoutVars>
          <dgm:chPref val="3"/>
        </dgm:presLayoutVars>
      </dgm:prSet>
      <dgm:spPr/>
    </dgm:pt>
    <dgm:pt modelId="{95A75FB0-F97E-4AAA-A6BE-816E918F486F}" type="pres">
      <dgm:prSet presAssocID="{14677D57-6C42-491D-8659-1D0EAAA481A6}" presName="rootConnector" presStyleLbl="node3" presStyleIdx="3" presStyleCnt="28"/>
      <dgm:spPr/>
    </dgm:pt>
    <dgm:pt modelId="{C2F8E22F-B9E7-4700-904F-9EEA3549146B}" type="pres">
      <dgm:prSet presAssocID="{14677D57-6C42-491D-8659-1D0EAAA481A6}" presName="hierChild4" presStyleCnt="0"/>
      <dgm:spPr/>
    </dgm:pt>
    <dgm:pt modelId="{9D40F0E8-89BB-4444-B77D-50D149F2D0BD}" type="pres">
      <dgm:prSet presAssocID="{702B48C3-58ED-4EDC-8F28-A5B29D60D7CF}" presName="Name37" presStyleLbl="parChTrans1D4" presStyleIdx="4" presStyleCnt="24"/>
      <dgm:spPr/>
    </dgm:pt>
    <dgm:pt modelId="{807F2813-9E5F-4BAC-83B1-59B45AE37DD4}" type="pres">
      <dgm:prSet presAssocID="{6FEF53BF-C4D9-4ACB-B4E9-D7A91EDE22DC}" presName="hierRoot2" presStyleCnt="0">
        <dgm:presLayoutVars>
          <dgm:hierBranch val="init"/>
        </dgm:presLayoutVars>
      </dgm:prSet>
      <dgm:spPr/>
    </dgm:pt>
    <dgm:pt modelId="{A730FDF6-1F82-4C7D-97A8-1951157308A9}" type="pres">
      <dgm:prSet presAssocID="{6FEF53BF-C4D9-4ACB-B4E9-D7A91EDE22DC}" presName="rootComposite" presStyleCnt="0"/>
      <dgm:spPr/>
    </dgm:pt>
    <dgm:pt modelId="{CAB5E8BB-F7BB-4348-AFDC-2A5F7C1BB986}" type="pres">
      <dgm:prSet presAssocID="{6FEF53BF-C4D9-4ACB-B4E9-D7A91EDE22DC}" presName="rootText" presStyleLbl="node4" presStyleIdx="4" presStyleCnt="24">
        <dgm:presLayoutVars>
          <dgm:chPref val="3"/>
        </dgm:presLayoutVars>
      </dgm:prSet>
      <dgm:spPr/>
    </dgm:pt>
    <dgm:pt modelId="{8B339C35-8607-4FB5-8564-04C3FB199A27}" type="pres">
      <dgm:prSet presAssocID="{6FEF53BF-C4D9-4ACB-B4E9-D7A91EDE22DC}" presName="rootConnector" presStyleLbl="node4" presStyleIdx="4" presStyleCnt="24"/>
      <dgm:spPr/>
    </dgm:pt>
    <dgm:pt modelId="{A71D661C-FDA7-43ED-8A25-C2A1EC6A7CD3}" type="pres">
      <dgm:prSet presAssocID="{6FEF53BF-C4D9-4ACB-B4E9-D7A91EDE22DC}" presName="hierChild4" presStyleCnt="0"/>
      <dgm:spPr/>
    </dgm:pt>
    <dgm:pt modelId="{F280D73C-CEBE-48A4-B246-B045D05FDE49}" type="pres">
      <dgm:prSet presAssocID="{6FEF53BF-C4D9-4ACB-B4E9-D7A91EDE22DC}" presName="hierChild5" presStyleCnt="0"/>
      <dgm:spPr/>
    </dgm:pt>
    <dgm:pt modelId="{779899BC-7124-4DBD-AEA6-F36DEBD24F24}" type="pres">
      <dgm:prSet presAssocID="{14677D57-6C42-491D-8659-1D0EAAA481A6}"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9"/>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9" custScaleX="170559" custLinFactNeighborY="-2145">
        <dgm:presLayoutVars>
          <dgm:chPref val="3"/>
        </dgm:presLayoutVars>
      </dgm:prSet>
      <dgm:spPr/>
    </dgm:pt>
    <dgm:pt modelId="{18E317F2-7CF2-4DFD-9CA0-4A1E8C4ACD68}" type="pres">
      <dgm:prSet presAssocID="{809B22AA-EB2B-4C4F-82C3-E979FD4CF357}" presName="rootConnector" presStyleLbl="node2" presStyleIdx="1" presStyleCnt="9"/>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4" presStyleCnt="28"/>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4" presStyleCnt="28">
        <dgm:presLayoutVars>
          <dgm:chPref val="3"/>
        </dgm:presLayoutVars>
      </dgm:prSet>
      <dgm:spPr/>
    </dgm:pt>
    <dgm:pt modelId="{CAC4091A-492F-459B-840C-5F8135FD499F}" type="pres">
      <dgm:prSet presAssocID="{97F38E1B-8B0A-4C1C-BB0E-8DC2824BBDEE}" presName="rootConnector" presStyleLbl="node3" presStyleIdx="4" presStyleCnt="28"/>
      <dgm:spPr/>
    </dgm:pt>
    <dgm:pt modelId="{3F86CAF0-921B-456C-9C30-B205CF6EDFAB}" type="pres">
      <dgm:prSet presAssocID="{97F38E1B-8B0A-4C1C-BB0E-8DC2824BBDEE}" presName="hierChild4" presStyleCnt="0"/>
      <dgm:spPr/>
    </dgm:pt>
    <dgm:pt modelId="{FF93B8C2-9EF9-40C7-887A-306A3910861C}" type="pres">
      <dgm:prSet presAssocID="{117742C0-6773-4105-9637-91DE5F062F47}" presName="Name37" presStyleLbl="parChTrans1D4" presStyleIdx="5" presStyleCnt="24"/>
      <dgm:spPr/>
    </dgm:pt>
    <dgm:pt modelId="{11B90A30-7E47-404D-B7F0-1F8EFFF85ACF}" type="pres">
      <dgm:prSet presAssocID="{D722AD66-857F-4EC9-9819-A5DD265CFAD7}" presName="hierRoot2" presStyleCnt="0">
        <dgm:presLayoutVars>
          <dgm:hierBranch val="init"/>
        </dgm:presLayoutVars>
      </dgm:prSet>
      <dgm:spPr/>
    </dgm:pt>
    <dgm:pt modelId="{314CCF29-22FE-4C61-BC5A-B434CF537B1C}" type="pres">
      <dgm:prSet presAssocID="{D722AD66-857F-4EC9-9819-A5DD265CFAD7}" presName="rootComposite" presStyleCnt="0"/>
      <dgm:spPr/>
    </dgm:pt>
    <dgm:pt modelId="{2215E6B3-FD2D-4FB4-BA09-966BC7F5FF2B}" type="pres">
      <dgm:prSet presAssocID="{D722AD66-857F-4EC9-9819-A5DD265CFAD7}" presName="rootText" presStyleLbl="node4" presStyleIdx="5" presStyleCnt="24">
        <dgm:presLayoutVars>
          <dgm:chPref val="3"/>
        </dgm:presLayoutVars>
      </dgm:prSet>
      <dgm:spPr/>
    </dgm:pt>
    <dgm:pt modelId="{077D79AE-0A00-414E-ACC9-3C7F0588F047}" type="pres">
      <dgm:prSet presAssocID="{D722AD66-857F-4EC9-9819-A5DD265CFAD7}" presName="rootConnector" presStyleLbl="node4" presStyleIdx="5" presStyleCnt="24"/>
      <dgm:spPr/>
    </dgm:pt>
    <dgm:pt modelId="{04C795AC-FE79-4C2C-A8A3-E22BE89C692B}" type="pres">
      <dgm:prSet presAssocID="{D722AD66-857F-4EC9-9819-A5DD265CFAD7}" presName="hierChild4" presStyleCnt="0"/>
      <dgm:spPr/>
    </dgm:pt>
    <dgm:pt modelId="{684AC095-E757-4D1B-A9D1-69E095908047}" type="pres">
      <dgm:prSet presAssocID="{D722AD66-857F-4EC9-9819-A5DD265CFAD7}" presName="hierChild5" presStyleCnt="0"/>
      <dgm:spPr/>
    </dgm:pt>
    <dgm:pt modelId="{45AC5175-69A5-4135-B79C-12AD4A58E1A7}" type="pres">
      <dgm:prSet presAssocID="{97F38E1B-8B0A-4C1C-BB0E-8DC2824BBDEE}" presName="hierChild5" presStyleCnt="0"/>
      <dgm:spPr/>
    </dgm:pt>
    <dgm:pt modelId="{AAF5925E-A439-4734-BFA7-0209F1E034E0}" type="pres">
      <dgm:prSet presAssocID="{B7B3C6AE-DFBB-46A9-8CF1-A1BD803B9409}" presName="Name37" presStyleLbl="parChTrans1D3" presStyleIdx="5" presStyleCnt="28"/>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3" presStyleIdx="5" presStyleCnt="28">
        <dgm:presLayoutVars>
          <dgm:chPref val="3"/>
        </dgm:presLayoutVars>
      </dgm:prSet>
      <dgm:spPr/>
    </dgm:pt>
    <dgm:pt modelId="{61BD3AC5-6CF6-4CA9-B7DA-7A4EF7D20243}" type="pres">
      <dgm:prSet presAssocID="{86AF350A-A785-4BDD-9C13-1E90196942B4}" presName="rootConnector" presStyleLbl="node3" presStyleIdx="5" presStyleCnt="28"/>
      <dgm:spPr/>
    </dgm:pt>
    <dgm:pt modelId="{417D4C16-6F47-45C2-BFA4-54B9F621B68C}" type="pres">
      <dgm:prSet presAssocID="{86AF350A-A785-4BDD-9C13-1E90196942B4}" presName="hierChild4" presStyleCnt="0"/>
      <dgm:spPr/>
    </dgm:pt>
    <dgm:pt modelId="{14E17D48-EDEB-435D-B3C2-B09395E9FEFB}" type="pres">
      <dgm:prSet presAssocID="{43D360DB-A8D3-4D26-816F-C105652DA472}" presName="Name37" presStyleLbl="parChTrans1D4" presStyleIdx="6" presStyleCnt="24"/>
      <dgm:spPr/>
    </dgm:pt>
    <dgm:pt modelId="{3880BEBD-40E5-4157-954B-226ECA0493A0}" type="pres">
      <dgm:prSet presAssocID="{266B1920-D9F8-467F-9AC8-63395B56AFC6}" presName="hierRoot2" presStyleCnt="0">
        <dgm:presLayoutVars>
          <dgm:hierBranch val="init"/>
        </dgm:presLayoutVars>
      </dgm:prSet>
      <dgm:spPr/>
    </dgm:pt>
    <dgm:pt modelId="{487FF71C-C0A6-4395-91C5-B60C3140B663}" type="pres">
      <dgm:prSet presAssocID="{266B1920-D9F8-467F-9AC8-63395B56AFC6}" presName="rootComposite" presStyleCnt="0"/>
      <dgm:spPr/>
    </dgm:pt>
    <dgm:pt modelId="{AB59BE87-9633-4FD2-BBA5-1E2B6A37B44D}" type="pres">
      <dgm:prSet presAssocID="{266B1920-D9F8-467F-9AC8-63395B56AFC6}" presName="rootText" presStyleLbl="node4" presStyleIdx="6" presStyleCnt="24">
        <dgm:presLayoutVars>
          <dgm:chPref val="3"/>
        </dgm:presLayoutVars>
      </dgm:prSet>
      <dgm:spPr/>
    </dgm:pt>
    <dgm:pt modelId="{BCFCA983-8F8D-40A4-8023-1126C6C7E626}" type="pres">
      <dgm:prSet presAssocID="{266B1920-D9F8-467F-9AC8-63395B56AFC6}" presName="rootConnector" presStyleLbl="node4" presStyleIdx="6" presStyleCnt="24"/>
      <dgm:spPr/>
    </dgm:pt>
    <dgm:pt modelId="{A8447E1E-6370-4B26-B94A-37909503EEA3}" type="pres">
      <dgm:prSet presAssocID="{266B1920-D9F8-467F-9AC8-63395B56AFC6}" presName="hierChild4" presStyleCnt="0"/>
      <dgm:spPr/>
    </dgm:pt>
    <dgm:pt modelId="{250A183C-708B-4234-BD9A-C48DC763F609}" type="pres">
      <dgm:prSet presAssocID="{266B1920-D9F8-467F-9AC8-63395B56AFC6}" presName="hierChild5" presStyleCnt="0"/>
      <dgm:spPr/>
    </dgm:pt>
    <dgm:pt modelId="{A304A998-311C-42E3-BC67-14561F45BC79}" type="pres">
      <dgm:prSet presAssocID="{86AF350A-A785-4BDD-9C13-1E90196942B4}" presName="hierChild5" presStyleCnt="0"/>
      <dgm:spPr/>
    </dgm:pt>
    <dgm:pt modelId="{0E4F5CDF-7B06-4007-B10B-B4FD17AF8CF2}" type="pres">
      <dgm:prSet presAssocID="{7B1EB518-6926-4007-B8F0-C18BB6AFBD5C}" presName="Name37" presStyleLbl="parChTrans1D3" presStyleIdx="6" presStyleCnt="28"/>
      <dgm:spPr/>
    </dgm:pt>
    <dgm:pt modelId="{C00D17CC-FAFA-40E8-9D6B-8B1CFC90E8E8}" type="pres">
      <dgm:prSet presAssocID="{F62C930D-1238-4F99-9C14-CAA9A9CF5200}" presName="hierRoot2" presStyleCnt="0">
        <dgm:presLayoutVars>
          <dgm:hierBranch val="init"/>
        </dgm:presLayoutVars>
      </dgm:prSet>
      <dgm:spPr/>
    </dgm:pt>
    <dgm:pt modelId="{12396B42-40DA-4642-AE48-28ABF768D1F2}" type="pres">
      <dgm:prSet presAssocID="{F62C930D-1238-4F99-9C14-CAA9A9CF5200}" presName="rootComposite" presStyleCnt="0"/>
      <dgm:spPr/>
    </dgm:pt>
    <dgm:pt modelId="{3E475BB6-47FF-4890-865F-481414FB60B9}" type="pres">
      <dgm:prSet presAssocID="{F62C930D-1238-4F99-9C14-CAA9A9CF5200}" presName="rootText" presStyleLbl="node3" presStyleIdx="6" presStyleCnt="28">
        <dgm:presLayoutVars>
          <dgm:chPref val="3"/>
        </dgm:presLayoutVars>
      </dgm:prSet>
      <dgm:spPr/>
    </dgm:pt>
    <dgm:pt modelId="{0ED318FC-6595-4111-9A87-606673A01095}" type="pres">
      <dgm:prSet presAssocID="{F62C930D-1238-4F99-9C14-CAA9A9CF5200}" presName="rootConnector" presStyleLbl="node3" presStyleIdx="6" presStyleCnt="28"/>
      <dgm:spPr/>
    </dgm:pt>
    <dgm:pt modelId="{66762B96-17A0-4947-9C1C-AC7603FC68F1}" type="pres">
      <dgm:prSet presAssocID="{F62C930D-1238-4F99-9C14-CAA9A9CF5200}" presName="hierChild4" presStyleCnt="0"/>
      <dgm:spPr/>
    </dgm:pt>
    <dgm:pt modelId="{5C3B02D7-A9B7-4BDF-8897-F12B1B1D6A2C}" type="pres">
      <dgm:prSet presAssocID="{FD8539BA-97B6-45E5-BE32-F165308789BF}" presName="Name37" presStyleLbl="parChTrans1D4" presStyleIdx="7" presStyleCnt="24"/>
      <dgm:spPr/>
    </dgm:pt>
    <dgm:pt modelId="{AAABD492-2235-478D-BC85-8ADA8000FE68}" type="pres">
      <dgm:prSet presAssocID="{FD1A1E17-BB1C-4819-9E1E-839F0DF9809E}" presName="hierRoot2" presStyleCnt="0">
        <dgm:presLayoutVars>
          <dgm:hierBranch val="init"/>
        </dgm:presLayoutVars>
      </dgm:prSet>
      <dgm:spPr/>
    </dgm:pt>
    <dgm:pt modelId="{CFF86CA9-BDC2-4D82-A177-28ECF97F8835}" type="pres">
      <dgm:prSet presAssocID="{FD1A1E17-BB1C-4819-9E1E-839F0DF9809E}" presName="rootComposite" presStyleCnt="0"/>
      <dgm:spPr/>
    </dgm:pt>
    <dgm:pt modelId="{7FD83118-2C2B-4B0B-808F-38851C921700}" type="pres">
      <dgm:prSet presAssocID="{FD1A1E17-BB1C-4819-9E1E-839F0DF9809E}" presName="rootText" presStyleLbl="node4" presStyleIdx="7" presStyleCnt="24">
        <dgm:presLayoutVars>
          <dgm:chPref val="3"/>
        </dgm:presLayoutVars>
      </dgm:prSet>
      <dgm:spPr/>
    </dgm:pt>
    <dgm:pt modelId="{CBB6CFF1-5517-4844-91DD-4DD73660295D}" type="pres">
      <dgm:prSet presAssocID="{FD1A1E17-BB1C-4819-9E1E-839F0DF9809E}" presName="rootConnector" presStyleLbl="node4" presStyleIdx="7" presStyleCnt="24"/>
      <dgm:spPr/>
    </dgm:pt>
    <dgm:pt modelId="{42791C86-7F1B-4AC0-9FB4-F3F7CB67915A}" type="pres">
      <dgm:prSet presAssocID="{FD1A1E17-BB1C-4819-9E1E-839F0DF9809E}" presName="hierChild4" presStyleCnt="0"/>
      <dgm:spPr/>
    </dgm:pt>
    <dgm:pt modelId="{AD8DAC95-A6C0-485B-8666-022382E13849}" type="pres">
      <dgm:prSet presAssocID="{FD1A1E17-BB1C-4819-9E1E-839F0DF9809E}" presName="hierChild5" presStyleCnt="0"/>
      <dgm:spPr/>
    </dgm:pt>
    <dgm:pt modelId="{4DC370E8-C554-48DD-9281-CE956BBCACC1}" type="pres">
      <dgm:prSet presAssocID="{17FCC9DE-0907-492E-BAAE-E403BDC490F2}" presName="Name37" presStyleLbl="parChTrans1D4" presStyleIdx="8" presStyleCnt="24"/>
      <dgm:spPr/>
    </dgm:pt>
    <dgm:pt modelId="{D295B8A5-105F-419F-B3EF-6265A41883F1}" type="pres">
      <dgm:prSet presAssocID="{57B1D34F-C6DF-4088-A62B-DA3BA410AB14}" presName="hierRoot2" presStyleCnt="0">
        <dgm:presLayoutVars>
          <dgm:hierBranch val="init"/>
        </dgm:presLayoutVars>
      </dgm:prSet>
      <dgm:spPr/>
    </dgm:pt>
    <dgm:pt modelId="{84E9CDE3-4F8B-4C0D-A8DD-F510BA1B7D60}" type="pres">
      <dgm:prSet presAssocID="{57B1D34F-C6DF-4088-A62B-DA3BA410AB14}" presName="rootComposite" presStyleCnt="0"/>
      <dgm:spPr/>
    </dgm:pt>
    <dgm:pt modelId="{E941135A-1407-47D1-B469-646C76E82807}" type="pres">
      <dgm:prSet presAssocID="{57B1D34F-C6DF-4088-A62B-DA3BA410AB14}" presName="rootText" presStyleLbl="node4" presStyleIdx="8" presStyleCnt="24">
        <dgm:presLayoutVars>
          <dgm:chPref val="3"/>
        </dgm:presLayoutVars>
      </dgm:prSet>
      <dgm:spPr/>
    </dgm:pt>
    <dgm:pt modelId="{DBC5985A-85E6-459C-B8CB-6346D2476406}" type="pres">
      <dgm:prSet presAssocID="{57B1D34F-C6DF-4088-A62B-DA3BA410AB14}" presName="rootConnector" presStyleLbl="node4" presStyleIdx="8" presStyleCnt="24"/>
      <dgm:spPr/>
    </dgm:pt>
    <dgm:pt modelId="{B8DCAF70-357C-4FDD-9E7F-5E98F6EB3C93}" type="pres">
      <dgm:prSet presAssocID="{57B1D34F-C6DF-4088-A62B-DA3BA410AB14}" presName="hierChild4" presStyleCnt="0"/>
      <dgm:spPr/>
    </dgm:pt>
    <dgm:pt modelId="{DE2E6F66-327B-4C22-988C-FF5A67ED711D}" type="pres">
      <dgm:prSet presAssocID="{57B1D34F-C6DF-4088-A62B-DA3BA410AB14}" presName="hierChild5" presStyleCnt="0"/>
      <dgm:spPr/>
    </dgm:pt>
    <dgm:pt modelId="{3F045100-1E00-4376-A7D8-5D78FE1A10CA}" type="pres">
      <dgm:prSet presAssocID="{F62C930D-1238-4F99-9C14-CAA9A9CF5200}"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9"/>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9" custScaleX="133009" custLinFactNeighborY="-2145">
        <dgm:presLayoutVars>
          <dgm:chPref val="3"/>
        </dgm:presLayoutVars>
      </dgm:prSet>
      <dgm:spPr/>
    </dgm:pt>
    <dgm:pt modelId="{05AACB28-368C-4D12-A4D8-69764BDEC4D2}" type="pres">
      <dgm:prSet presAssocID="{4D29C077-1695-455C-9DAA-E15887E6F57B}" presName="rootConnector" presStyleLbl="node2" presStyleIdx="2" presStyleCnt="9"/>
      <dgm:spPr/>
    </dgm:pt>
    <dgm:pt modelId="{6EB25563-D21F-483B-A064-03B79922792B}" type="pres">
      <dgm:prSet presAssocID="{4D29C077-1695-455C-9DAA-E15887E6F57B}" presName="hierChild4" presStyleCnt="0"/>
      <dgm:spPr/>
    </dgm:pt>
    <dgm:pt modelId="{AC56313E-7D1A-40B8-A07E-A43719F70304}" type="pres">
      <dgm:prSet presAssocID="{0631D87C-B935-46D4-B8D7-C37BDF8C161E}" presName="Name37" presStyleLbl="parChTrans1D3" presStyleIdx="7" presStyleCnt="28"/>
      <dgm:spPr/>
    </dgm:pt>
    <dgm:pt modelId="{E5027FC4-D8CB-49AE-8FE2-C4BF40730425}" type="pres">
      <dgm:prSet presAssocID="{C9D0B5BF-B7C3-4EE0-95D1-49FD73D05D79}" presName="hierRoot2" presStyleCnt="0">
        <dgm:presLayoutVars>
          <dgm:hierBranch val="init"/>
        </dgm:presLayoutVars>
      </dgm:prSet>
      <dgm:spPr/>
    </dgm:pt>
    <dgm:pt modelId="{451FB81E-7102-41CA-A72C-4C11EB843438}" type="pres">
      <dgm:prSet presAssocID="{C9D0B5BF-B7C3-4EE0-95D1-49FD73D05D79}" presName="rootComposite" presStyleCnt="0"/>
      <dgm:spPr/>
    </dgm:pt>
    <dgm:pt modelId="{5A797B3D-506B-475C-A5BD-53CB96B71636}" type="pres">
      <dgm:prSet presAssocID="{C9D0B5BF-B7C3-4EE0-95D1-49FD73D05D79}" presName="rootText" presStyleLbl="node3" presStyleIdx="7" presStyleCnt="28">
        <dgm:presLayoutVars>
          <dgm:chPref val="3"/>
        </dgm:presLayoutVars>
      </dgm:prSet>
      <dgm:spPr/>
    </dgm:pt>
    <dgm:pt modelId="{AA88D680-0A07-41F6-8035-4101B25DA7E3}" type="pres">
      <dgm:prSet presAssocID="{C9D0B5BF-B7C3-4EE0-95D1-49FD73D05D79}" presName="rootConnector" presStyleLbl="node3" presStyleIdx="7" presStyleCnt="28"/>
      <dgm:spPr/>
    </dgm:pt>
    <dgm:pt modelId="{8FE4B370-D97A-4DC8-9828-C41934910D0E}" type="pres">
      <dgm:prSet presAssocID="{C9D0B5BF-B7C3-4EE0-95D1-49FD73D05D79}" presName="hierChild4" presStyleCnt="0"/>
      <dgm:spPr/>
    </dgm:pt>
    <dgm:pt modelId="{8B358519-0C2C-4464-B502-83D39B61EFE0}" type="pres">
      <dgm:prSet presAssocID="{B77CF93A-79A0-40E5-9396-0AD36524ACA0}" presName="Name37" presStyleLbl="parChTrans1D4" presStyleIdx="9" presStyleCnt="24"/>
      <dgm:spPr/>
    </dgm:pt>
    <dgm:pt modelId="{BECFCE1F-CC5F-4A21-B02D-A3EE880102D6}" type="pres">
      <dgm:prSet presAssocID="{AB37859F-7C6D-4C76-BA45-0A0DBE373840}" presName="hierRoot2" presStyleCnt="0">
        <dgm:presLayoutVars>
          <dgm:hierBranch val="init"/>
        </dgm:presLayoutVars>
      </dgm:prSet>
      <dgm:spPr/>
    </dgm:pt>
    <dgm:pt modelId="{D73A7F28-36A2-4E1A-B554-55D2E3D06764}" type="pres">
      <dgm:prSet presAssocID="{AB37859F-7C6D-4C76-BA45-0A0DBE373840}" presName="rootComposite" presStyleCnt="0"/>
      <dgm:spPr/>
    </dgm:pt>
    <dgm:pt modelId="{6EEDBC22-0172-4D63-B345-F0F2B1AD6B01}" type="pres">
      <dgm:prSet presAssocID="{AB37859F-7C6D-4C76-BA45-0A0DBE373840}" presName="rootText" presStyleLbl="node4" presStyleIdx="9" presStyleCnt="24">
        <dgm:presLayoutVars>
          <dgm:chPref val="3"/>
        </dgm:presLayoutVars>
      </dgm:prSet>
      <dgm:spPr/>
    </dgm:pt>
    <dgm:pt modelId="{A8ED0CE2-514C-4A84-9B15-AF67781518A6}" type="pres">
      <dgm:prSet presAssocID="{AB37859F-7C6D-4C76-BA45-0A0DBE373840}" presName="rootConnector" presStyleLbl="node4" presStyleIdx="9" presStyleCnt="24"/>
      <dgm:spPr/>
    </dgm:pt>
    <dgm:pt modelId="{EA085187-54D6-4D11-BC36-0F7CB14726C9}" type="pres">
      <dgm:prSet presAssocID="{AB37859F-7C6D-4C76-BA45-0A0DBE373840}" presName="hierChild4" presStyleCnt="0"/>
      <dgm:spPr/>
    </dgm:pt>
    <dgm:pt modelId="{48EA53ED-8418-43ED-AD61-3526A1965A01}" type="pres">
      <dgm:prSet presAssocID="{AB37859F-7C6D-4C76-BA45-0A0DBE373840}" presName="hierChild5" presStyleCnt="0"/>
      <dgm:spPr/>
    </dgm:pt>
    <dgm:pt modelId="{8A89F35E-7F48-4116-9B53-E087577800DA}" type="pres">
      <dgm:prSet presAssocID="{E5F561AE-632D-4E0D-8517-D408AF389688}" presName="Name37" presStyleLbl="parChTrans1D4" presStyleIdx="10" presStyleCnt="24"/>
      <dgm:spPr/>
    </dgm:pt>
    <dgm:pt modelId="{22C219FA-01DA-45CF-AE93-CDDC057234B5}" type="pres">
      <dgm:prSet presAssocID="{C98E6EC7-F1DD-4059-AE72-4B5E07EA4C21}" presName="hierRoot2" presStyleCnt="0">
        <dgm:presLayoutVars>
          <dgm:hierBranch val="init"/>
        </dgm:presLayoutVars>
      </dgm:prSet>
      <dgm:spPr/>
    </dgm:pt>
    <dgm:pt modelId="{89579EA1-0BAD-4A49-B0CD-0ED79BF02506}" type="pres">
      <dgm:prSet presAssocID="{C98E6EC7-F1DD-4059-AE72-4B5E07EA4C21}" presName="rootComposite" presStyleCnt="0"/>
      <dgm:spPr/>
    </dgm:pt>
    <dgm:pt modelId="{B2D1F2E2-96F0-44D8-A8A7-B8DE86A3C79D}" type="pres">
      <dgm:prSet presAssocID="{C98E6EC7-F1DD-4059-AE72-4B5E07EA4C21}" presName="rootText" presStyleLbl="node4" presStyleIdx="10" presStyleCnt="24">
        <dgm:presLayoutVars>
          <dgm:chPref val="3"/>
        </dgm:presLayoutVars>
      </dgm:prSet>
      <dgm:spPr/>
    </dgm:pt>
    <dgm:pt modelId="{CC55B12C-5ACE-4C47-8041-FB9582F1320F}" type="pres">
      <dgm:prSet presAssocID="{C98E6EC7-F1DD-4059-AE72-4B5E07EA4C21}" presName="rootConnector" presStyleLbl="node4" presStyleIdx="10" presStyleCnt="24"/>
      <dgm:spPr/>
    </dgm:pt>
    <dgm:pt modelId="{5E98AF1A-879E-4467-ABE4-32DFEFE5909F}" type="pres">
      <dgm:prSet presAssocID="{C98E6EC7-F1DD-4059-AE72-4B5E07EA4C21}" presName="hierChild4" presStyleCnt="0"/>
      <dgm:spPr/>
    </dgm:pt>
    <dgm:pt modelId="{5C77756B-C77A-4D3D-B695-397894FC6E17}" type="pres">
      <dgm:prSet presAssocID="{C98E6EC7-F1DD-4059-AE72-4B5E07EA4C21}" presName="hierChild5" presStyleCnt="0"/>
      <dgm:spPr/>
    </dgm:pt>
    <dgm:pt modelId="{E65ACC12-704A-4DB3-B473-886E758C6012}" type="pres">
      <dgm:prSet presAssocID="{2B0C420F-9A4B-4275-B30A-C0ECE0EF9445}" presName="Name37" presStyleLbl="parChTrans1D4" presStyleIdx="11" presStyleCnt="24"/>
      <dgm:spPr/>
    </dgm:pt>
    <dgm:pt modelId="{B77D29B4-F58A-44CD-AC82-222550239608}" type="pres">
      <dgm:prSet presAssocID="{31105894-8FE9-4968-AFB7-DDB6BC538A2D}" presName="hierRoot2" presStyleCnt="0">
        <dgm:presLayoutVars>
          <dgm:hierBranch val="init"/>
        </dgm:presLayoutVars>
      </dgm:prSet>
      <dgm:spPr/>
    </dgm:pt>
    <dgm:pt modelId="{DEEC189C-4DB9-4FAB-836D-0AAD2A3D3897}" type="pres">
      <dgm:prSet presAssocID="{31105894-8FE9-4968-AFB7-DDB6BC538A2D}" presName="rootComposite" presStyleCnt="0"/>
      <dgm:spPr/>
    </dgm:pt>
    <dgm:pt modelId="{F15F62B6-22D0-48F7-9F58-1C264B09AC2E}" type="pres">
      <dgm:prSet presAssocID="{31105894-8FE9-4968-AFB7-DDB6BC538A2D}" presName="rootText" presStyleLbl="node4" presStyleIdx="11" presStyleCnt="24">
        <dgm:presLayoutVars>
          <dgm:chPref val="3"/>
        </dgm:presLayoutVars>
      </dgm:prSet>
      <dgm:spPr/>
    </dgm:pt>
    <dgm:pt modelId="{E50652A1-B037-4DB8-9053-89B9BD8896DD}" type="pres">
      <dgm:prSet presAssocID="{31105894-8FE9-4968-AFB7-DDB6BC538A2D}" presName="rootConnector" presStyleLbl="node4" presStyleIdx="11" presStyleCnt="24"/>
      <dgm:spPr/>
    </dgm:pt>
    <dgm:pt modelId="{DBB6488E-37EB-4D25-AB60-07C0FD366E16}" type="pres">
      <dgm:prSet presAssocID="{31105894-8FE9-4968-AFB7-DDB6BC538A2D}" presName="hierChild4" presStyleCnt="0"/>
      <dgm:spPr/>
    </dgm:pt>
    <dgm:pt modelId="{25D37BCC-706D-423A-B10B-22CC1A74A53A}" type="pres">
      <dgm:prSet presAssocID="{31105894-8FE9-4968-AFB7-DDB6BC538A2D}" presName="hierChild5" presStyleCnt="0"/>
      <dgm:spPr/>
    </dgm:pt>
    <dgm:pt modelId="{A384F49A-DCE7-4743-AF3D-96EF074C6CEA}" type="pres">
      <dgm:prSet presAssocID="{84501513-03A8-4BD6-B53F-CC991DD051D2}" presName="Name37" presStyleLbl="parChTrans1D4" presStyleIdx="12" presStyleCnt="24"/>
      <dgm:spPr/>
    </dgm:pt>
    <dgm:pt modelId="{0CC6144A-70D8-4072-A3E3-1B62E7C6A0E1}" type="pres">
      <dgm:prSet presAssocID="{ACC47AE5-8F11-4C89-A3BA-0142D6FF2B89}" presName="hierRoot2" presStyleCnt="0">
        <dgm:presLayoutVars>
          <dgm:hierBranch val="init"/>
        </dgm:presLayoutVars>
      </dgm:prSet>
      <dgm:spPr/>
    </dgm:pt>
    <dgm:pt modelId="{7AE4FF18-11D3-4559-AA76-1875D05ACD4B}" type="pres">
      <dgm:prSet presAssocID="{ACC47AE5-8F11-4C89-A3BA-0142D6FF2B89}" presName="rootComposite" presStyleCnt="0"/>
      <dgm:spPr/>
    </dgm:pt>
    <dgm:pt modelId="{D5417EFD-1356-4DC1-914D-15DEA5738108}" type="pres">
      <dgm:prSet presAssocID="{ACC47AE5-8F11-4C89-A3BA-0142D6FF2B89}" presName="rootText" presStyleLbl="node4" presStyleIdx="12" presStyleCnt="24">
        <dgm:presLayoutVars>
          <dgm:chPref val="3"/>
        </dgm:presLayoutVars>
      </dgm:prSet>
      <dgm:spPr/>
    </dgm:pt>
    <dgm:pt modelId="{5474E46D-E00A-478A-A683-BFD10039FAA7}" type="pres">
      <dgm:prSet presAssocID="{ACC47AE5-8F11-4C89-A3BA-0142D6FF2B89}" presName="rootConnector" presStyleLbl="node4" presStyleIdx="12" presStyleCnt="24"/>
      <dgm:spPr/>
    </dgm:pt>
    <dgm:pt modelId="{A0338B63-BCD5-4D3D-9923-6929CED23F26}" type="pres">
      <dgm:prSet presAssocID="{ACC47AE5-8F11-4C89-A3BA-0142D6FF2B89}" presName="hierChild4" presStyleCnt="0"/>
      <dgm:spPr/>
    </dgm:pt>
    <dgm:pt modelId="{A80367B4-49F2-48E2-8197-B859A6FF618B}" type="pres">
      <dgm:prSet presAssocID="{ACC47AE5-8F11-4C89-A3BA-0142D6FF2B89}" presName="hierChild5" presStyleCnt="0"/>
      <dgm:spPr/>
    </dgm:pt>
    <dgm:pt modelId="{A17F7BA7-4897-40B4-A8B5-D43D1D738389}" type="pres">
      <dgm:prSet presAssocID="{C9D0B5BF-B7C3-4EE0-95D1-49FD73D05D79}" presName="hierChild5" presStyleCnt="0"/>
      <dgm:spPr/>
    </dgm:pt>
    <dgm:pt modelId="{28D55063-3940-488A-9702-C3D93AC20CE6}" type="pres">
      <dgm:prSet presAssocID="{4089A354-DC6D-40E7-87B3-0C0F4415491D}" presName="Name37" presStyleLbl="parChTrans1D3" presStyleIdx="8" presStyleCnt="28"/>
      <dgm:spPr/>
    </dgm:pt>
    <dgm:pt modelId="{57110AF5-5D44-4597-B2EE-8FCF5313B90C}" type="pres">
      <dgm:prSet presAssocID="{70569C37-479B-4282-8493-96925FB5E138}" presName="hierRoot2" presStyleCnt="0">
        <dgm:presLayoutVars>
          <dgm:hierBranch val="init"/>
        </dgm:presLayoutVars>
      </dgm:prSet>
      <dgm:spPr/>
    </dgm:pt>
    <dgm:pt modelId="{6F41F7B6-E19B-4E04-A93C-3B5E568F3EB0}" type="pres">
      <dgm:prSet presAssocID="{70569C37-479B-4282-8493-96925FB5E138}" presName="rootComposite" presStyleCnt="0"/>
      <dgm:spPr/>
    </dgm:pt>
    <dgm:pt modelId="{E9ED0A35-CF48-40AC-AEA5-7CC07D1B8C49}" type="pres">
      <dgm:prSet presAssocID="{70569C37-479B-4282-8493-96925FB5E138}" presName="rootText" presStyleLbl="node3" presStyleIdx="8" presStyleCnt="28">
        <dgm:presLayoutVars>
          <dgm:chPref val="3"/>
        </dgm:presLayoutVars>
      </dgm:prSet>
      <dgm:spPr/>
    </dgm:pt>
    <dgm:pt modelId="{3D25A15D-81E3-4A6F-86B6-A1E1B02091DF}" type="pres">
      <dgm:prSet presAssocID="{70569C37-479B-4282-8493-96925FB5E138}" presName="rootConnector" presStyleLbl="node3" presStyleIdx="8" presStyleCnt="28"/>
      <dgm:spPr/>
    </dgm:pt>
    <dgm:pt modelId="{FC2B08CB-42E8-417E-B68E-9245782402BD}" type="pres">
      <dgm:prSet presAssocID="{70569C37-479B-4282-8493-96925FB5E138}" presName="hierChild4" presStyleCnt="0"/>
      <dgm:spPr/>
    </dgm:pt>
    <dgm:pt modelId="{8BEAF106-541E-4D2A-A1C9-5CB298386A2C}" type="pres">
      <dgm:prSet presAssocID="{C72D52AD-718E-4A36-941A-8F6E3156D78D}" presName="Name37" presStyleLbl="parChTrans1D4" presStyleIdx="13" presStyleCnt="24"/>
      <dgm:spPr/>
    </dgm:pt>
    <dgm:pt modelId="{1149E221-240F-4B98-AB30-7BB9E031CE0B}" type="pres">
      <dgm:prSet presAssocID="{A23A7438-E068-4208-882D-05EE6624A677}" presName="hierRoot2" presStyleCnt="0">
        <dgm:presLayoutVars>
          <dgm:hierBranch val="init"/>
        </dgm:presLayoutVars>
      </dgm:prSet>
      <dgm:spPr/>
    </dgm:pt>
    <dgm:pt modelId="{CF5D48C4-1F88-4F18-97CF-026F2F565CAC}" type="pres">
      <dgm:prSet presAssocID="{A23A7438-E068-4208-882D-05EE6624A677}" presName="rootComposite" presStyleCnt="0"/>
      <dgm:spPr/>
    </dgm:pt>
    <dgm:pt modelId="{E40FCE65-D2BB-409C-BE43-09744F70A1CA}" type="pres">
      <dgm:prSet presAssocID="{A23A7438-E068-4208-882D-05EE6624A677}" presName="rootText" presStyleLbl="node4" presStyleIdx="13" presStyleCnt="24">
        <dgm:presLayoutVars>
          <dgm:chPref val="3"/>
        </dgm:presLayoutVars>
      </dgm:prSet>
      <dgm:spPr/>
    </dgm:pt>
    <dgm:pt modelId="{86A68EE7-45BA-45A8-848B-343E39FFFE28}" type="pres">
      <dgm:prSet presAssocID="{A23A7438-E068-4208-882D-05EE6624A677}" presName="rootConnector" presStyleLbl="node4" presStyleIdx="13" presStyleCnt="24"/>
      <dgm:spPr/>
    </dgm:pt>
    <dgm:pt modelId="{558FF7F2-2936-4874-A756-C91952772AF7}" type="pres">
      <dgm:prSet presAssocID="{A23A7438-E068-4208-882D-05EE6624A677}" presName="hierChild4" presStyleCnt="0"/>
      <dgm:spPr/>
    </dgm:pt>
    <dgm:pt modelId="{FFB5AF99-DFC2-4B9D-A9D8-D8D242795FBA}" type="pres">
      <dgm:prSet presAssocID="{A23A7438-E068-4208-882D-05EE6624A677}" presName="hierChild5" presStyleCnt="0"/>
      <dgm:spPr/>
    </dgm:pt>
    <dgm:pt modelId="{150C3395-4105-4B1C-8F76-B7ECA78B96FF}" type="pres">
      <dgm:prSet presAssocID="{8B1732FA-F672-4156-8366-24B4BA91746E}" presName="Name37" presStyleLbl="parChTrans1D4" presStyleIdx="14" presStyleCnt="24"/>
      <dgm:spPr/>
    </dgm:pt>
    <dgm:pt modelId="{1EF7C8B3-191A-4614-9ED3-50BF117BE4AA}" type="pres">
      <dgm:prSet presAssocID="{862AA08E-DB59-43BF-A679-24491CE3C752}" presName="hierRoot2" presStyleCnt="0">
        <dgm:presLayoutVars>
          <dgm:hierBranch val="init"/>
        </dgm:presLayoutVars>
      </dgm:prSet>
      <dgm:spPr/>
    </dgm:pt>
    <dgm:pt modelId="{D0BF1B72-93FE-43C3-870E-8F4C27209DCE}" type="pres">
      <dgm:prSet presAssocID="{862AA08E-DB59-43BF-A679-24491CE3C752}" presName="rootComposite" presStyleCnt="0"/>
      <dgm:spPr/>
    </dgm:pt>
    <dgm:pt modelId="{FF4A6981-C3D6-43AD-95FE-CA13BFFA25FC}" type="pres">
      <dgm:prSet presAssocID="{862AA08E-DB59-43BF-A679-24491CE3C752}" presName="rootText" presStyleLbl="node4" presStyleIdx="14" presStyleCnt="24">
        <dgm:presLayoutVars>
          <dgm:chPref val="3"/>
        </dgm:presLayoutVars>
      </dgm:prSet>
      <dgm:spPr/>
    </dgm:pt>
    <dgm:pt modelId="{EA703137-E13C-4E1B-8E19-459F32216575}" type="pres">
      <dgm:prSet presAssocID="{862AA08E-DB59-43BF-A679-24491CE3C752}" presName="rootConnector" presStyleLbl="node4" presStyleIdx="14" presStyleCnt="24"/>
      <dgm:spPr/>
    </dgm:pt>
    <dgm:pt modelId="{4DADA080-EA4F-4AC4-AF9A-029A97BE6622}" type="pres">
      <dgm:prSet presAssocID="{862AA08E-DB59-43BF-A679-24491CE3C752}" presName="hierChild4" presStyleCnt="0"/>
      <dgm:spPr/>
    </dgm:pt>
    <dgm:pt modelId="{93950E22-A835-4A89-B8E0-CC90D8978458}" type="pres">
      <dgm:prSet presAssocID="{862AA08E-DB59-43BF-A679-24491CE3C752}" presName="hierChild5" presStyleCnt="0"/>
      <dgm:spPr/>
    </dgm:pt>
    <dgm:pt modelId="{DC4DEE6B-4DD3-4A5B-B920-F9FABD7DEA4B}" type="pres">
      <dgm:prSet presAssocID="{9E5E61FA-69D4-4920-BA7E-984605DC83C4}" presName="Name37" presStyleLbl="parChTrans1D4" presStyleIdx="15" presStyleCnt="24"/>
      <dgm:spPr/>
    </dgm:pt>
    <dgm:pt modelId="{248BACA0-271B-42CA-97CA-1064832F6FE2}" type="pres">
      <dgm:prSet presAssocID="{9F399C56-2035-4132-B481-B1BF8BFEC6F6}" presName="hierRoot2" presStyleCnt="0">
        <dgm:presLayoutVars>
          <dgm:hierBranch val="init"/>
        </dgm:presLayoutVars>
      </dgm:prSet>
      <dgm:spPr/>
    </dgm:pt>
    <dgm:pt modelId="{77746C42-4EE1-4FE1-8EDE-E156441528B7}" type="pres">
      <dgm:prSet presAssocID="{9F399C56-2035-4132-B481-B1BF8BFEC6F6}" presName="rootComposite" presStyleCnt="0"/>
      <dgm:spPr/>
    </dgm:pt>
    <dgm:pt modelId="{C5B34D5D-43DB-45E5-92C5-34FCE8FD1F7F}" type="pres">
      <dgm:prSet presAssocID="{9F399C56-2035-4132-B481-B1BF8BFEC6F6}" presName="rootText" presStyleLbl="node4" presStyleIdx="15" presStyleCnt="24">
        <dgm:presLayoutVars>
          <dgm:chPref val="3"/>
        </dgm:presLayoutVars>
      </dgm:prSet>
      <dgm:spPr/>
    </dgm:pt>
    <dgm:pt modelId="{87CC8DE3-7597-49C2-9FD8-4013226BDCD9}" type="pres">
      <dgm:prSet presAssocID="{9F399C56-2035-4132-B481-B1BF8BFEC6F6}" presName="rootConnector" presStyleLbl="node4" presStyleIdx="15" presStyleCnt="24"/>
      <dgm:spPr/>
    </dgm:pt>
    <dgm:pt modelId="{6247CB4A-8DED-4A78-A98F-B3254B6E8B4F}" type="pres">
      <dgm:prSet presAssocID="{9F399C56-2035-4132-B481-B1BF8BFEC6F6}" presName="hierChild4" presStyleCnt="0"/>
      <dgm:spPr/>
    </dgm:pt>
    <dgm:pt modelId="{1BA56298-6919-419F-9B02-E43CF88A4671}" type="pres">
      <dgm:prSet presAssocID="{9F399C56-2035-4132-B481-B1BF8BFEC6F6}" presName="hierChild5" presStyleCnt="0"/>
      <dgm:spPr/>
    </dgm:pt>
    <dgm:pt modelId="{194AA57E-0A57-4261-83D4-E8E121F7E638}" type="pres">
      <dgm:prSet presAssocID="{6ED415ED-1D81-4829-9F99-E46EB3AF0B25}" presName="Name37" presStyleLbl="parChTrans1D4" presStyleIdx="16" presStyleCnt="24"/>
      <dgm:spPr/>
    </dgm:pt>
    <dgm:pt modelId="{91F0E4C9-7300-4E90-AD17-DA22E1FCA94A}" type="pres">
      <dgm:prSet presAssocID="{3A59B8F0-06D5-4FFA-9439-9975B80A847C}" presName="hierRoot2" presStyleCnt="0">
        <dgm:presLayoutVars>
          <dgm:hierBranch val="init"/>
        </dgm:presLayoutVars>
      </dgm:prSet>
      <dgm:spPr/>
    </dgm:pt>
    <dgm:pt modelId="{1E62FE38-6157-44BA-8C4C-7BA2356D2348}" type="pres">
      <dgm:prSet presAssocID="{3A59B8F0-06D5-4FFA-9439-9975B80A847C}" presName="rootComposite" presStyleCnt="0"/>
      <dgm:spPr/>
    </dgm:pt>
    <dgm:pt modelId="{9914FC13-98B1-4335-96F8-D75C198BD29D}" type="pres">
      <dgm:prSet presAssocID="{3A59B8F0-06D5-4FFA-9439-9975B80A847C}" presName="rootText" presStyleLbl="node4" presStyleIdx="16" presStyleCnt="24">
        <dgm:presLayoutVars>
          <dgm:chPref val="3"/>
        </dgm:presLayoutVars>
      </dgm:prSet>
      <dgm:spPr/>
    </dgm:pt>
    <dgm:pt modelId="{259D6A3B-27FF-4011-AB5E-DB7B40D1F2E5}" type="pres">
      <dgm:prSet presAssocID="{3A59B8F0-06D5-4FFA-9439-9975B80A847C}" presName="rootConnector" presStyleLbl="node4" presStyleIdx="16" presStyleCnt="24"/>
      <dgm:spPr/>
    </dgm:pt>
    <dgm:pt modelId="{29F01FFD-8125-4097-A417-8B15E814A33A}" type="pres">
      <dgm:prSet presAssocID="{3A59B8F0-06D5-4FFA-9439-9975B80A847C}" presName="hierChild4" presStyleCnt="0"/>
      <dgm:spPr/>
    </dgm:pt>
    <dgm:pt modelId="{B735D63E-DB4D-4818-B98C-FD6DE61B6A27}" type="pres">
      <dgm:prSet presAssocID="{3A59B8F0-06D5-4FFA-9439-9975B80A847C}" presName="hierChild5" presStyleCnt="0"/>
      <dgm:spPr/>
    </dgm:pt>
    <dgm:pt modelId="{CE253981-69AD-4593-80B8-BC3EA0D69DEE}" type="pres">
      <dgm:prSet presAssocID="{70569C37-479B-4282-8493-96925FB5E138}" presName="hierChild5" presStyleCnt="0"/>
      <dgm:spPr/>
    </dgm:pt>
    <dgm:pt modelId="{ECA5FDC4-14A3-4529-AA0E-9A25620DF249}" type="pres">
      <dgm:prSet presAssocID="{11759A9E-54A0-4898-A0BC-D61C8AA90E83}" presName="Name37" presStyleLbl="parChTrans1D3" presStyleIdx="9" presStyleCnt="28"/>
      <dgm:spPr/>
    </dgm:pt>
    <dgm:pt modelId="{72A884B9-8178-4FAE-8962-B59FF0A5AA0B}" type="pres">
      <dgm:prSet presAssocID="{D9107A63-812B-4280-AE64-58C5CC40691A}" presName="hierRoot2" presStyleCnt="0">
        <dgm:presLayoutVars>
          <dgm:hierBranch val="init"/>
        </dgm:presLayoutVars>
      </dgm:prSet>
      <dgm:spPr/>
    </dgm:pt>
    <dgm:pt modelId="{1D8DA4B0-8B4F-4951-BD28-604A699B552E}" type="pres">
      <dgm:prSet presAssocID="{D9107A63-812B-4280-AE64-58C5CC40691A}" presName="rootComposite" presStyleCnt="0"/>
      <dgm:spPr/>
    </dgm:pt>
    <dgm:pt modelId="{C9AE5414-0CA3-433A-B2DC-C8106DB10739}" type="pres">
      <dgm:prSet presAssocID="{D9107A63-812B-4280-AE64-58C5CC40691A}" presName="rootText" presStyleLbl="node3" presStyleIdx="9" presStyleCnt="28">
        <dgm:presLayoutVars>
          <dgm:chPref val="3"/>
        </dgm:presLayoutVars>
      </dgm:prSet>
      <dgm:spPr/>
    </dgm:pt>
    <dgm:pt modelId="{6B3B56DD-FA59-4A7E-B135-B1FED540C01D}" type="pres">
      <dgm:prSet presAssocID="{D9107A63-812B-4280-AE64-58C5CC40691A}" presName="rootConnector" presStyleLbl="node3" presStyleIdx="9" presStyleCnt="28"/>
      <dgm:spPr/>
    </dgm:pt>
    <dgm:pt modelId="{1E0E08C5-2945-4C99-804D-F1317323B277}" type="pres">
      <dgm:prSet presAssocID="{D9107A63-812B-4280-AE64-58C5CC40691A}" presName="hierChild4" presStyleCnt="0"/>
      <dgm:spPr/>
    </dgm:pt>
    <dgm:pt modelId="{BC1464FB-78A0-4E42-BDDA-BF5121921D5B}" type="pres">
      <dgm:prSet presAssocID="{EC92CD42-52C3-4740-8347-52E695781E28}" presName="Name37" presStyleLbl="parChTrans1D4" presStyleIdx="17" presStyleCnt="24"/>
      <dgm:spPr/>
    </dgm:pt>
    <dgm:pt modelId="{10787D9B-D41D-4C8C-918D-FD99AD1BB4E0}" type="pres">
      <dgm:prSet presAssocID="{2096C503-0BA9-4EC3-B829-53412ECECC19}" presName="hierRoot2" presStyleCnt="0">
        <dgm:presLayoutVars>
          <dgm:hierBranch val="init"/>
        </dgm:presLayoutVars>
      </dgm:prSet>
      <dgm:spPr/>
    </dgm:pt>
    <dgm:pt modelId="{55D39B97-9550-49B2-80A3-3F214B80080F}" type="pres">
      <dgm:prSet presAssocID="{2096C503-0BA9-4EC3-B829-53412ECECC19}" presName="rootComposite" presStyleCnt="0"/>
      <dgm:spPr/>
    </dgm:pt>
    <dgm:pt modelId="{8CC792A2-A4B3-4272-8DBB-0D26D7D4FAC3}" type="pres">
      <dgm:prSet presAssocID="{2096C503-0BA9-4EC3-B829-53412ECECC19}" presName="rootText" presStyleLbl="node4" presStyleIdx="17" presStyleCnt="24">
        <dgm:presLayoutVars>
          <dgm:chPref val="3"/>
        </dgm:presLayoutVars>
      </dgm:prSet>
      <dgm:spPr/>
    </dgm:pt>
    <dgm:pt modelId="{FFDAD895-FE50-481C-A60C-108A4321E094}" type="pres">
      <dgm:prSet presAssocID="{2096C503-0BA9-4EC3-B829-53412ECECC19}" presName="rootConnector" presStyleLbl="node4" presStyleIdx="17" presStyleCnt="24"/>
      <dgm:spPr/>
    </dgm:pt>
    <dgm:pt modelId="{1D1C271B-19A8-440E-ACA1-48012EC65DAC}" type="pres">
      <dgm:prSet presAssocID="{2096C503-0BA9-4EC3-B829-53412ECECC19}" presName="hierChild4" presStyleCnt="0"/>
      <dgm:spPr/>
    </dgm:pt>
    <dgm:pt modelId="{5FFFC356-2718-43BF-BBED-CA71ED8CF290}" type="pres">
      <dgm:prSet presAssocID="{2096C503-0BA9-4EC3-B829-53412ECECC19}" presName="hierChild5" presStyleCnt="0"/>
      <dgm:spPr/>
    </dgm:pt>
    <dgm:pt modelId="{8CFD2EAA-AE75-484A-98F6-2B9A1298C8C0}" type="pres">
      <dgm:prSet presAssocID="{AAB5C8A4-8FBE-4DCB-BA6E-BDB06D4023E4}" presName="Name37" presStyleLbl="parChTrans1D4" presStyleIdx="18" presStyleCnt="24"/>
      <dgm:spPr/>
    </dgm:pt>
    <dgm:pt modelId="{D5D42285-A61D-48CB-9EB4-ED242E832222}" type="pres">
      <dgm:prSet presAssocID="{9BDDE200-95E7-47FC-BBB2-110A2D6AA5D1}" presName="hierRoot2" presStyleCnt="0">
        <dgm:presLayoutVars>
          <dgm:hierBranch val="init"/>
        </dgm:presLayoutVars>
      </dgm:prSet>
      <dgm:spPr/>
    </dgm:pt>
    <dgm:pt modelId="{D6C3F7DC-6A93-4707-9D42-78C987588260}" type="pres">
      <dgm:prSet presAssocID="{9BDDE200-95E7-47FC-BBB2-110A2D6AA5D1}" presName="rootComposite" presStyleCnt="0"/>
      <dgm:spPr/>
    </dgm:pt>
    <dgm:pt modelId="{FC353450-B9CF-4B7D-BA30-5C233F217A35}" type="pres">
      <dgm:prSet presAssocID="{9BDDE200-95E7-47FC-BBB2-110A2D6AA5D1}" presName="rootText" presStyleLbl="node4" presStyleIdx="18" presStyleCnt="24">
        <dgm:presLayoutVars>
          <dgm:chPref val="3"/>
        </dgm:presLayoutVars>
      </dgm:prSet>
      <dgm:spPr/>
    </dgm:pt>
    <dgm:pt modelId="{14C1E465-1010-46E0-ADED-DE14D83F30FA}" type="pres">
      <dgm:prSet presAssocID="{9BDDE200-95E7-47FC-BBB2-110A2D6AA5D1}" presName="rootConnector" presStyleLbl="node4" presStyleIdx="18" presStyleCnt="24"/>
      <dgm:spPr/>
    </dgm:pt>
    <dgm:pt modelId="{81F3D579-F435-4D52-85EA-F9DCA69A8BE9}" type="pres">
      <dgm:prSet presAssocID="{9BDDE200-95E7-47FC-BBB2-110A2D6AA5D1}" presName="hierChild4" presStyleCnt="0"/>
      <dgm:spPr/>
    </dgm:pt>
    <dgm:pt modelId="{796DBCB7-CCD5-41A0-8696-08E00F86AA1D}" type="pres">
      <dgm:prSet presAssocID="{9BDDE200-95E7-47FC-BBB2-110A2D6AA5D1}" presName="hierChild5" presStyleCnt="0"/>
      <dgm:spPr/>
    </dgm:pt>
    <dgm:pt modelId="{ACD67D30-8778-4C1F-8557-06A29D5D73C8}" type="pres">
      <dgm:prSet presAssocID="{065C239D-A46E-4C09-8042-4C1A119F8BAA}" presName="Name37" presStyleLbl="parChTrans1D4" presStyleIdx="19" presStyleCnt="24"/>
      <dgm:spPr/>
    </dgm:pt>
    <dgm:pt modelId="{4BD7EA3A-865C-423A-87D3-6DEAA7ABED17}" type="pres">
      <dgm:prSet presAssocID="{27EDD41D-CE5B-4F05-BA23-80DEB47D6BC5}" presName="hierRoot2" presStyleCnt="0">
        <dgm:presLayoutVars>
          <dgm:hierBranch val="init"/>
        </dgm:presLayoutVars>
      </dgm:prSet>
      <dgm:spPr/>
    </dgm:pt>
    <dgm:pt modelId="{3DFEAAD4-8C74-4312-AC96-FE1012A3AD35}" type="pres">
      <dgm:prSet presAssocID="{27EDD41D-CE5B-4F05-BA23-80DEB47D6BC5}" presName="rootComposite" presStyleCnt="0"/>
      <dgm:spPr/>
    </dgm:pt>
    <dgm:pt modelId="{05C53B3B-5032-49C8-9040-4853AED28940}" type="pres">
      <dgm:prSet presAssocID="{27EDD41D-CE5B-4F05-BA23-80DEB47D6BC5}" presName="rootText" presStyleLbl="node4" presStyleIdx="19" presStyleCnt="24">
        <dgm:presLayoutVars>
          <dgm:chPref val="3"/>
        </dgm:presLayoutVars>
      </dgm:prSet>
      <dgm:spPr/>
    </dgm:pt>
    <dgm:pt modelId="{EEEA47F1-B788-48DD-929D-5C8B188CE6CF}" type="pres">
      <dgm:prSet presAssocID="{27EDD41D-CE5B-4F05-BA23-80DEB47D6BC5}" presName="rootConnector" presStyleLbl="node4" presStyleIdx="19" presStyleCnt="24"/>
      <dgm:spPr/>
    </dgm:pt>
    <dgm:pt modelId="{BDAFE0D3-ABE2-44E3-85E6-9FB763841D1F}" type="pres">
      <dgm:prSet presAssocID="{27EDD41D-CE5B-4F05-BA23-80DEB47D6BC5}" presName="hierChild4" presStyleCnt="0"/>
      <dgm:spPr/>
    </dgm:pt>
    <dgm:pt modelId="{30F07236-4FA1-4D56-9858-99A589DD8E38}" type="pres">
      <dgm:prSet presAssocID="{27EDD41D-CE5B-4F05-BA23-80DEB47D6BC5}" presName="hierChild5" presStyleCnt="0"/>
      <dgm:spPr/>
    </dgm:pt>
    <dgm:pt modelId="{07181A27-094A-4F00-B487-00695E3567C9}" type="pres">
      <dgm:prSet presAssocID="{D9107A63-812B-4280-AE64-58C5CC40691A}" presName="hierChild5" presStyleCnt="0"/>
      <dgm:spPr/>
    </dgm:pt>
    <dgm:pt modelId="{BC2296E3-678E-497E-9639-ED3DB6D9EADC}" type="pres">
      <dgm:prSet presAssocID="{4D29C077-1695-455C-9DAA-E15887E6F57B}" presName="hierChild5" presStyleCnt="0"/>
      <dgm:spPr/>
    </dgm:pt>
    <dgm:pt modelId="{58BDADBE-4402-4E6F-AB6F-E215C5F98D3B}" type="pres">
      <dgm:prSet presAssocID="{E9CCBF3B-F7D4-491B-83ED-166AFDD5DD30}" presName="Name37" presStyleLbl="parChTrans1D2" presStyleIdx="3" presStyleCnt="9"/>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3" presStyleCnt="9" custScaleX="232513" custLinFactNeighborY="-2145">
        <dgm:presLayoutVars>
          <dgm:chPref val="3"/>
        </dgm:presLayoutVars>
      </dgm:prSet>
      <dgm:spPr/>
    </dgm:pt>
    <dgm:pt modelId="{9BBA3CDE-9578-436B-BF71-4165D5256392}" type="pres">
      <dgm:prSet presAssocID="{025397C8-278A-4FB7-A986-A1B487EA1563}" presName="rootConnector" presStyleLbl="node2" presStyleIdx="3" presStyleCnt="9"/>
      <dgm:spPr/>
    </dgm:pt>
    <dgm:pt modelId="{30CBF445-3176-4871-AE74-8842DAE8EA77}" type="pres">
      <dgm:prSet presAssocID="{025397C8-278A-4FB7-A986-A1B487EA1563}" presName="hierChild4" presStyleCnt="0"/>
      <dgm:spPr/>
    </dgm:pt>
    <dgm:pt modelId="{D3DEE367-2894-4921-A66A-A9037DBF2BEA}" type="pres">
      <dgm:prSet presAssocID="{AB4D5491-8D3C-455C-93A1-80D4111B7887}" presName="Name37" presStyleLbl="parChTrans1D3" presStyleIdx="10" presStyleCnt="28"/>
      <dgm:spPr/>
    </dgm:pt>
    <dgm:pt modelId="{DD8DA653-D4FA-48D3-9D8A-591F822FDAF5}" type="pres">
      <dgm:prSet presAssocID="{7C5C5049-7390-4327-A6D6-AB17FFC53A43}" presName="hierRoot2" presStyleCnt="0">
        <dgm:presLayoutVars>
          <dgm:hierBranch val="init"/>
        </dgm:presLayoutVars>
      </dgm:prSet>
      <dgm:spPr/>
    </dgm:pt>
    <dgm:pt modelId="{8411E4B5-BB56-421C-8BAA-81DA639280F0}" type="pres">
      <dgm:prSet presAssocID="{7C5C5049-7390-4327-A6D6-AB17FFC53A43}" presName="rootComposite" presStyleCnt="0"/>
      <dgm:spPr/>
    </dgm:pt>
    <dgm:pt modelId="{101E7089-2CFC-4D90-BD60-75732AD7334A}" type="pres">
      <dgm:prSet presAssocID="{7C5C5049-7390-4327-A6D6-AB17FFC53A43}" presName="rootText" presStyleLbl="node3" presStyleIdx="10" presStyleCnt="28">
        <dgm:presLayoutVars>
          <dgm:chPref val="3"/>
        </dgm:presLayoutVars>
      </dgm:prSet>
      <dgm:spPr/>
    </dgm:pt>
    <dgm:pt modelId="{6C9E8FBE-15D7-4951-8B5C-D371AC51EA30}" type="pres">
      <dgm:prSet presAssocID="{7C5C5049-7390-4327-A6D6-AB17FFC53A43}" presName="rootConnector" presStyleLbl="node3" presStyleIdx="10" presStyleCnt="28"/>
      <dgm:spPr/>
    </dgm:pt>
    <dgm:pt modelId="{E956487F-BC8E-43CD-BFE3-66E0DD765191}" type="pres">
      <dgm:prSet presAssocID="{7C5C5049-7390-4327-A6D6-AB17FFC53A43}" presName="hierChild4" presStyleCnt="0"/>
      <dgm:spPr/>
    </dgm:pt>
    <dgm:pt modelId="{959AFBD9-F9FD-417F-84EB-C9B6A8C63B31}" type="pres">
      <dgm:prSet presAssocID="{7C5C5049-7390-4327-A6D6-AB17FFC53A43}" presName="hierChild5" presStyleCnt="0"/>
      <dgm:spPr/>
    </dgm:pt>
    <dgm:pt modelId="{47A21D83-0961-4F83-B6CA-9111DF4BFE52}" type="pres">
      <dgm:prSet presAssocID="{7B0E8674-AF5F-4D43-BDCB-E4D39514593E}" presName="Name37" presStyleLbl="parChTrans1D3" presStyleIdx="11" presStyleCnt="28"/>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11" presStyleCnt="28">
        <dgm:presLayoutVars>
          <dgm:chPref val="3"/>
        </dgm:presLayoutVars>
      </dgm:prSet>
      <dgm:spPr/>
    </dgm:pt>
    <dgm:pt modelId="{9F318731-EE01-4314-B79B-B28E42749C00}" type="pres">
      <dgm:prSet presAssocID="{602FD50F-130C-4E3A-A16E-AF79EACA12AD}" presName="rootConnector" presStyleLbl="node3" presStyleIdx="11" presStyleCnt="28"/>
      <dgm:spPr/>
    </dgm:pt>
    <dgm:pt modelId="{81979E69-6B05-4EC7-AA2F-C9F76EBB2E89}" type="pres">
      <dgm:prSet presAssocID="{602FD50F-130C-4E3A-A16E-AF79EACA12AD}" presName="hierChild4" presStyleCnt="0"/>
      <dgm:spPr/>
    </dgm:pt>
    <dgm:pt modelId="{D1EA719A-EBF2-425E-9D29-7CD52B07BC03}" type="pres">
      <dgm:prSet presAssocID="{47798007-B9FC-47C6-8CAF-AD10352A4565}" presName="Name37" presStyleLbl="parChTrans1D4" presStyleIdx="20" presStyleCnt="24"/>
      <dgm:spPr/>
    </dgm:pt>
    <dgm:pt modelId="{D0B0E343-BDEC-4AA1-9F3E-BC8D50EB083D}" type="pres">
      <dgm:prSet presAssocID="{96D368FE-2E72-4D13-B246-1FE8B850C602}" presName="hierRoot2" presStyleCnt="0">
        <dgm:presLayoutVars>
          <dgm:hierBranch val="init"/>
        </dgm:presLayoutVars>
      </dgm:prSet>
      <dgm:spPr/>
    </dgm:pt>
    <dgm:pt modelId="{837CBF81-42C2-4C68-8341-67EAB70A57E2}" type="pres">
      <dgm:prSet presAssocID="{96D368FE-2E72-4D13-B246-1FE8B850C602}" presName="rootComposite" presStyleCnt="0"/>
      <dgm:spPr/>
    </dgm:pt>
    <dgm:pt modelId="{A4D5862A-33B6-4E40-9661-9A38D1C236D5}" type="pres">
      <dgm:prSet presAssocID="{96D368FE-2E72-4D13-B246-1FE8B850C602}" presName="rootText" presStyleLbl="node4" presStyleIdx="20" presStyleCnt="24">
        <dgm:presLayoutVars>
          <dgm:chPref val="3"/>
        </dgm:presLayoutVars>
      </dgm:prSet>
      <dgm:spPr/>
    </dgm:pt>
    <dgm:pt modelId="{8A789041-0E66-4025-B9A7-E50454F73504}" type="pres">
      <dgm:prSet presAssocID="{96D368FE-2E72-4D13-B246-1FE8B850C602}" presName="rootConnector" presStyleLbl="node4" presStyleIdx="20" presStyleCnt="24"/>
      <dgm:spPr/>
    </dgm:pt>
    <dgm:pt modelId="{53E165FB-F642-4519-895A-AC3D0CC20B0B}" type="pres">
      <dgm:prSet presAssocID="{96D368FE-2E72-4D13-B246-1FE8B850C602}" presName="hierChild4" presStyleCnt="0"/>
      <dgm:spPr/>
    </dgm:pt>
    <dgm:pt modelId="{15662133-3B29-4D82-BCFB-55D0DBD4FDB9}" type="pres">
      <dgm:prSet presAssocID="{96D368FE-2E72-4D13-B246-1FE8B850C602}" presName="hierChild5" presStyleCnt="0"/>
      <dgm:spPr/>
    </dgm:pt>
    <dgm:pt modelId="{5C6B34E6-E6BA-4C7A-BDB3-963037826DD2}" type="pres">
      <dgm:prSet presAssocID="{602FD50F-130C-4E3A-A16E-AF79EACA12AD}" presName="hierChild5" presStyleCnt="0"/>
      <dgm:spPr/>
    </dgm:pt>
    <dgm:pt modelId="{26CD7BA9-1BDB-44FE-ACF3-BD373E904C1D}" type="pres">
      <dgm:prSet presAssocID="{B1BCAF03-FCBC-4A71-90B0-17D13F90A9C6}" presName="Name37" presStyleLbl="parChTrans1D3" presStyleIdx="12" presStyleCnt="28"/>
      <dgm:spPr/>
    </dgm:pt>
    <dgm:pt modelId="{AF79C796-C727-4AEB-BB53-3EE75D04DA20}" type="pres">
      <dgm:prSet presAssocID="{2CE28678-B80C-4E11-B66E-A7B453E759D3}" presName="hierRoot2" presStyleCnt="0">
        <dgm:presLayoutVars>
          <dgm:hierBranch val="init"/>
        </dgm:presLayoutVars>
      </dgm:prSet>
      <dgm:spPr/>
    </dgm:pt>
    <dgm:pt modelId="{71918098-BE45-43DB-9DF7-1301596BC8E5}" type="pres">
      <dgm:prSet presAssocID="{2CE28678-B80C-4E11-B66E-A7B453E759D3}" presName="rootComposite" presStyleCnt="0"/>
      <dgm:spPr/>
    </dgm:pt>
    <dgm:pt modelId="{309445BE-4DB4-477B-A761-9CCADF42348C}" type="pres">
      <dgm:prSet presAssocID="{2CE28678-B80C-4E11-B66E-A7B453E759D3}" presName="rootText" presStyleLbl="node3" presStyleIdx="12" presStyleCnt="28">
        <dgm:presLayoutVars>
          <dgm:chPref val="3"/>
        </dgm:presLayoutVars>
      </dgm:prSet>
      <dgm:spPr/>
    </dgm:pt>
    <dgm:pt modelId="{81CB6F50-739A-4556-8527-16F152648CEE}" type="pres">
      <dgm:prSet presAssocID="{2CE28678-B80C-4E11-B66E-A7B453E759D3}" presName="rootConnector" presStyleLbl="node3" presStyleIdx="12" presStyleCnt="28"/>
      <dgm:spPr/>
    </dgm:pt>
    <dgm:pt modelId="{D499F5F0-9B54-4E21-A44B-77AE01D01301}" type="pres">
      <dgm:prSet presAssocID="{2CE28678-B80C-4E11-B66E-A7B453E759D3}" presName="hierChild4" presStyleCnt="0"/>
      <dgm:spPr/>
    </dgm:pt>
    <dgm:pt modelId="{917B5A17-DEC1-4D68-BD57-872653DA8903}" type="pres">
      <dgm:prSet presAssocID="{775510F7-43CE-456A-B90C-3D3048207170}" presName="Name37" presStyleLbl="parChTrans1D4" presStyleIdx="21" presStyleCnt="24"/>
      <dgm:spPr/>
    </dgm:pt>
    <dgm:pt modelId="{D6304FB4-9ECC-4F15-9BBE-E411F03FDE31}" type="pres">
      <dgm:prSet presAssocID="{71A07EB7-D24F-449C-9C1B-C72090906ED6}" presName="hierRoot2" presStyleCnt="0">
        <dgm:presLayoutVars>
          <dgm:hierBranch val="init"/>
        </dgm:presLayoutVars>
      </dgm:prSet>
      <dgm:spPr/>
    </dgm:pt>
    <dgm:pt modelId="{51319291-6928-453B-ADEC-BE963314F5FC}" type="pres">
      <dgm:prSet presAssocID="{71A07EB7-D24F-449C-9C1B-C72090906ED6}" presName="rootComposite" presStyleCnt="0"/>
      <dgm:spPr/>
    </dgm:pt>
    <dgm:pt modelId="{FBFB7893-C4BF-4C23-A1C7-990539E4794F}" type="pres">
      <dgm:prSet presAssocID="{71A07EB7-D24F-449C-9C1B-C72090906ED6}" presName="rootText" presStyleLbl="node4" presStyleIdx="21" presStyleCnt="24">
        <dgm:presLayoutVars>
          <dgm:chPref val="3"/>
        </dgm:presLayoutVars>
      </dgm:prSet>
      <dgm:spPr/>
    </dgm:pt>
    <dgm:pt modelId="{B3A4D494-22BE-4615-990C-52DA630F7049}" type="pres">
      <dgm:prSet presAssocID="{71A07EB7-D24F-449C-9C1B-C72090906ED6}" presName="rootConnector" presStyleLbl="node4" presStyleIdx="21" presStyleCnt="24"/>
      <dgm:spPr/>
    </dgm:pt>
    <dgm:pt modelId="{FBB7785A-065C-4C81-AC12-8205E0E8EFA9}" type="pres">
      <dgm:prSet presAssocID="{71A07EB7-D24F-449C-9C1B-C72090906ED6}" presName="hierChild4" presStyleCnt="0"/>
      <dgm:spPr/>
    </dgm:pt>
    <dgm:pt modelId="{18044D3B-054B-41C9-B67A-CE353A719BAB}" type="pres">
      <dgm:prSet presAssocID="{71A07EB7-D24F-449C-9C1B-C72090906ED6}" presName="hierChild5" presStyleCnt="0"/>
      <dgm:spPr/>
    </dgm:pt>
    <dgm:pt modelId="{C409FCB1-A2AE-4AFD-AF25-651B58CCDA21}" type="pres">
      <dgm:prSet presAssocID="{2CE28678-B80C-4E11-B66E-A7B453E759D3}" presName="hierChild5" presStyleCnt="0"/>
      <dgm:spPr/>
    </dgm:pt>
    <dgm:pt modelId="{5DA155C8-2302-48A2-B4B2-E75D974C90B8}" type="pres">
      <dgm:prSet presAssocID="{09DDCA2F-5E54-411D-9F85-8088752AE4E5}" presName="Name37" presStyleLbl="parChTrans1D3" presStyleIdx="13" presStyleCnt="28"/>
      <dgm:spPr/>
    </dgm:pt>
    <dgm:pt modelId="{7F18E2ED-EB56-434D-94A4-6A7E09E20F65}" type="pres">
      <dgm:prSet presAssocID="{5F7F4E39-AE1F-4254-A239-FC78884AB94F}" presName="hierRoot2" presStyleCnt="0">
        <dgm:presLayoutVars>
          <dgm:hierBranch val="init"/>
        </dgm:presLayoutVars>
      </dgm:prSet>
      <dgm:spPr/>
    </dgm:pt>
    <dgm:pt modelId="{38925D82-4451-4C51-BFED-A53EA60E739D}" type="pres">
      <dgm:prSet presAssocID="{5F7F4E39-AE1F-4254-A239-FC78884AB94F}" presName="rootComposite" presStyleCnt="0"/>
      <dgm:spPr/>
    </dgm:pt>
    <dgm:pt modelId="{E3A63C86-20A4-432A-9BD3-977E025AAEB1}" type="pres">
      <dgm:prSet presAssocID="{5F7F4E39-AE1F-4254-A239-FC78884AB94F}" presName="rootText" presStyleLbl="node3" presStyleIdx="13" presStyleCnt="28">
        <dgm:presLayoutVars>
          <dgm:chPref val="3"/>
        </dgm:presLayoutVars>
      </dgm:prSet>
      <dgm:spPr/>
    </dgm:pt>
    <dgm:pt modelId="{DCF64C30-17F6-4543-8704-D4F54A4915B8}" type="pres">
      <dgm:prSet presAssocID="{5F7F4E39-AE1F-4254-A239-FC78884AB94F}" presName="rootConnector" presStyleLbl="node3" presStyleIdx="13" presStyleCnt="28"/>
      <dgm:spPr/>
    </dgm:pt>
    <dgm:pt modelId="{43633615-51B5-4F43-ACEF-E60294F5F664}" type="pres">
      <dgm:prSet presAssocID="{5F7F4E39-AE1F-4254-A239-FC78884AB94F}" presName="hierChild4" presStyleCnt="0"/>
      <dgm:spPr/>
    </dgm:pt>
    <dgm:pt modelId="{B5CD00D6-D626-47D1-AC35-959ABF7D017C}" type="pres">
      <dgm:prSet presAssocID="{B1126516-B9CF-4FC9-9D9C-E0607D4610EB}" presName="Name37" presStyleLbl="parChTrans1D4" presStyleIdx="22" presStyleCnt="24"/>
      <dgm:spPr/>
    </dgm:pt>
    <dgm:pt modelId="{B1D0FC31-E180-4F21-A74B-23C61A5E1598}" type="pres">
      <dgm:prSet presAssocID="{61AAB74A-772D-40A8-8E4B-E08053C322A7}" presName="hierRoot2" presStyleCnt="0">
        <dgm:presLayoutVars>
          <dgm:hierBranch val="init"/>
        </dgm:presLayoutVars>
      </dgm:prSet>
      <dgm:spPr/>
    </dgm:pt>
    <dgm:pt modelId="{5FDDDC33-7C2C-42A0-B92E-596E50061C36}" type="pres">
      <dgm:prSet presAssocID="{61AAB74A-772D-40A8-8E4B-E08053C322A7}" presName="rootComposite" presStyleCnt="0"/>
      <dgm:spPr/>
    </dgm:pt>
    <dgm:pt modelId="{B5EA85A1-AF03-424D-862B-4F7C13829B51}" type="pres">
      <dgm:prSet presAssocID="{61AAB74A-772D-40A8-8E4B-E08053C322A7}" presName="rootText" presStyleLbl="node4" presStyleIdx="22" presStyleCnt="24">
        <dgm:presLayoutVars>
          <dgm:chPref val="3"/>
        </dgm:presLayoutVars>
      </dgm:prSet>
      <dgm:spPr/>
    </dgm:pt>
    <dgm:pt modelId="{3E5247BE-5815-4AB6-AAD1-80D3D2D0FC5D}" type="pres">
      <dgm:prSet presAssocID="{61AAB74A-772D-40A8-8E4B-E08053C322A7}" presName="rootConnector" presStyleLbl="node4" presStyleIdx="22" presStyleCnt="24"/>
      <dgm:spPr/>
    </dgm:pt>
    <dgm:pt modelId="{18C76298-86F1-4B15-9702-DE3BA6E49313}" type="pres">
      <dgm:prSet presAssocID="{61AAB74A-772D-40A8-8E4B-E08053C322A7}" presName="hierChild4" presStyleCnt="0"/>
      <dgm:spPr/>
    </dgm:pt>
    <dgm:pt modelId="{7A1058D7-6696-4978-ADA8-726B328B609B}" type="pres">
      <dgm:prSet presAssocID="{61AAB74A-772D-40A8-8E4B-E08053C322A7}" presName="hierChild5" presStyleCnt="0"/>
      <dgm:spPr/>
    </dgm:pt>
    <dgm:pt modelId="{6A7DD972-E039-4155-952E-92369208ECAC}" type="pres">
      <dgm:prSet presAssocID="{9E2FF34B-4953-4012-994C-B1999884A51A}" presName="Name37" presStyleLbl="parChTrans1D4" presStyleIdx="23" presStyleCnt="24"/>
      <dgm:spPr/>
    </dgm:pt>
    <dgm:pt modelId="{012CB919-FC69-4D05-8B65-439EF2ADD089}" type="pres">
      <dgm:prSet presAssocID="{24DF324B-17D5-4F41-B71F-0E5753E2637E}" presName="hierRoot2" presStyleCnt="0">
        <dgm:presLayoutVars>
          <dgm:hierBranch val="init"/>
        </dgm:presLayoutVars>
      </dgm:prSet>
      <dgm:spPr/>
    </dgm:pt>
    <dgm:pt modelId="{20C7FA30-A4EE-449E-9DF4-8A55756197BF}" type="pres">
      <dgm:prSet presAssocID="{24DF324B-17D5-4F41-B71F-0E5753E2637E}" presName="rootComposite" presStyleCnt="0"/>
      <dgm:spPr/>
    </dgm:pt>
    <dgm:pt modelId="{953DEB0D-6844-4FE8-9CFA-7CC4A83A54C9}" type="pres">
      <dgm:prSet presAssocID="{24DF324B-17D5-4F41-B71F-0E5753E2637E}" presName="rootText" presStyleLbl="node4" presStyleIdx="23" presStyleCnt="24">
        <dgm:presLayoutVars>
          <dgm:chPref val="3"/>
        </dgm:presLayoutVars>
      </dgm:prSet>
      <dgm:spPr/>
    </dgm:pt>
    <dgm:pt modelId="{B77D1EE6-85B4-4C3A-9191-A38967AE2BB9}" type="pres">
      <dgm:prSet presAssocID="{24DF324B-17D5-4F41-B71F-0E5753E2637E}" presName="rootConnector" presStyleLbl="node4" presStyleIdx="23" presStyleCnt="24"/>
      <dgm:spPr/>
    </dgm:pt>
    <dgm:pt modelId="{E58512E6-6D39-4B2A-B5EB-09BF70D3014C}" type="pres">
      <dgm:prSet presAssocID="{24DF324B-17D5-4F41-B71F-0E5753E2637E}" presName="hierChild4" presStyleCnt="0"/>
      <dgm:spPr/>
    </dgm:pt>
    <dgm:pt modelId="{30484C58-AFC4-48C8-8D56-3357A1155562}" type="pres">
      <dgm:prSet presAssocID="{24DF324B-17D5-4F41-B71F-0E5753E2637E}" presName="hierChild5" presStyleCnt="0"/>
      <dgm:spPr/>
    </dgm:pt>
    <dgm:pt modelId="{B1B24DF8-7861-46ED-B6D4-54DAD7069E8A}" type="pres">
      <dgm:prSet presAssocID="{5F7F4E39-AE1F-4254-A239-FC78884AB94F}"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4" presStyleCnt="9"/>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4" presStyleCnt="9" custScaleX="173145" custLinFactNeighborY="-2145">
        <dgm:presLayoutVars>
          <dgm:chPref val="3"/>
        </dgm:presLayoutVars>
      </dgm:prSet>
      <dgm:spPr/>
    </dgm:pt>
    <dgm:pt modelId="{0393B6C4-B4FB-4B6B-8DB5-37B9B19AABA4}" type="pres">
      <dgm:prSet presAssocID="{8BB75C25-BB24-48E5-95A1-BDDD2AD67385}" presName="rootConnector" presStyleLbl="node2" presStyleIdx="4" presStyleCnt="9"/>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4" presStyleCnt="28"/>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4" presStyleCnt="28">
        <dgm:presLayoutVars>
          <dgm:chPref val="3"/>
        </dgm:presLayoutVars>
      </dgm:prSet>
      <dgm:spPr/>
    </dgm:pt>
    <dgm:pt modelId="{C0FC47CA-1988-459D-A473-7CA219823B7E}" type="pres">
      <dgm:prSet presAssocID="{D6F5CD79-D3E1-4B19-9C25-479267A00537}" presName="rootConnector" presStyleLbl="node3" presStyleIdx="14" presStyleCnt="28"/>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5DE5ED83-3230-40DE-958C-7CC3FCFF93F8}" type="pres">
      <dgm:prSet presAssocID="{95D4969D-21C2-48E7-B9F4-2935D5B369F5}" presName="Name37" presStyleLbl="parChTrans1D3" presStyleIdx="15" presStyleCnt="28"/>
      <dgm:spPr/>
    </dgm:pt>
    <dgm:pt modelId="{057DD862-5C56-46DD-A87F-7FA9B20D9EDD}" type="pres">
      <dgm:prSet presAssocID="{60FA8CC8-9172-4D54-8215-C833E5BAEAF3}" presName="hierRoot2" presStyleCnt="0">
        <dgm:presLayoutVars>
          <dgm:hierBranch val="init"/>
        </dgm:presLayoutVars>
      </dgm:prSet>
      <dgm:spPr/>
    </dgm:pt>
    <dgm:pt modelId="{D804ADB4-FB3B-49AF-A993-E37A7B826B61}" type="pres">
      <dgm:prSet presAssocID="{60FA8CC8-9172-4D54-8215-C833E5BAEAF3}" presName="rootComposite" presStyleCnt="0"/>
      <dgm:spPr/>
    </dgm:pt>
    <dgm:pt modelId="{05B68185-236D-47CF-8CA2-C40EC5C940CF}" type="pres">
      <dgm:prSet presAssocID="{60FA8CC8-9172-4D54-8215-C833E5BAEAF3}" presName="rootText" presStyleLbl="node3" presStyleIdx="15" presStyleCnt="28">
        <dgm:presLayoutVars>
          <dgm:chPref val="3"/>
        </dgm:presLayoutVars>
      </dgm:prSet>
      <dgm:spPr/>
    </dgm:pt>
    <dgm:pt modelId="{1A1B6A07-3BA2-4C91-A77E-7C1B3585B6F3}" type="pres">
      <dgm:prSet presAssocID="{60FA8CC8-9172-4D54-8215-C833E5BAEAF3}" presName="rootConnector" presStyleLbl="node3" presStyleIdx="15" presStyleCnt="28"/>
      <dgm:spPr/>
    </dgm:pt>
    <dgm:pt modelId="{9871BA3F-D6EB-46DF-8DEC-0B696C28399A}" type="pres">
      <dgm:prSet presAssocID="{60FA8CC8-9172-4D54-8215-C833E5BAEAF3}" presName="hierChild4" presStyleCnt="0"/>
      <dgm:spPr/>
    </dgm:pt>
    <dgm:pt modelId="{586FAA6F-5CF0-43D0-B56D-3BB039DE1BC6}" type="pres">
      <dgm:prSet presAssocID="{60FA8CC8-9172-4D54-8215-C833E5BAEAF3}" presName="hierChild5" presStyleCnt="0"/>
      <dgm:spPr/>
    </dgm:pt>
    <dgm:pt modelId="{52777498-AA74-4FC2-849F-C626B27A45B4}" type="pres">
      <dgm:prSet presAssocID="{FDDB7EEE-AB02-47E4-B007-CB2A762CB7F9}" presName="Name37" presStyleLbl="parChTrans1D3" presStyleIdx="16" presStyleCnt="28"/>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6" presStyleCnt="28">
        <dgm:presLayoutVars>
          <dgm:chPref val="3"/>
        </dgm:presLayoutVars>
      </dgm:prSet>
      <dgm:spPr/>
    </dgm:pt>
    <dgm:pt modelId="{7568918C-FAD7-4B9E-9AFD-52C33DE56813}" type="pres">
      <dgm:prSet presAssocID="{03DF699C-3176-485E-B584-5BC85EC703ED}" presName="rootConnector" presStyleLbl="node3" presStyleIdx="16" presStyleCnt="28"/>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AC031FE0-21D7-4C6E-AA66-DDB90A435C1D}" type="pres">
      <dgm:prSet presAssocID="{C4F5EC2E-8188-4E03-84C4-040C45AD4E69}" presName="Name37" presStyleLbl="parChTrans1D3" presStyleIdx="17" presStyleCnt="28"/>
      <dgm:spPr/>
    </dgm:pt>
    <dgm:pt modelId="{B90E1D8A-D40D-435B-BE37-C92F15E1CBDF}" type="pres">
      <dgm:prSet presAssocID="{BB3F3372-8126-4967-8DB2-6157162F4B48}" presName="hierRoot2" presStyleCnt="0">
        <dgm:presLayoutVars>
          <dgm:hierBranch val="init"/>
        </dgm:presLayoutVars>
      </dgm:prSet>
      <dgm:spPr/>
    </dgm:pt>
    <dgm:pt modelId="{06C05CD6-A478-4F4F-B898-FEF56831988B}" type="pres">
      <dgm:prSet presAssocID="{BB3F3372-8126-4967-8DB2-6157162F4B48}" presName="rootComposite" presStyleCnt="0"/>
      <dgm:spPr/>
    </dgm:pt>
    <dgm:pt modelId="{96B847E9-F4CD-4024-8601-19585B6BC0D2}" type="pres">
      <dgm:prSet presAssocID="{BB3F3372-8126-4967-8DB2-6157162F4B48}" presName="rootText" presStyleLbl="node3" presStyleIdx="17" presStyleCnt="28">
        <dgm:presLayoutVars>
          <dgm:chPref val="3"/>
        </dgm:presLayoutVars>
      </dgm:prSet>
      <dgm:spPr/>
    </dgm:pt>
    <dgm:pt modelId="{952C02DD-C676-48C4-832C-DF3BF32B78FF}" type="pres">
      <dgm:prSet presAssocID="{BB3F3372-8126-4967-8DB2-6157162F4B48}" presName="rootConnector" presStyleLbl="node3" presStyleIdx="17" presStyleCnt="28"/>
      <dgm:spPr/>
    </dgm:pt>
    <dgm:pt modelId="{BE9B127F-D174-479A-B245-955F267B0AB1}" type="pres">
      <dgm:prSet presAssocID="{BB3F3372-8126-4967-8DB2-6157162F4B48}" presName="hierChild4" presStyleCnt="0"/>
      <dgm:spPr/>
    </dgm:pt>
    <dgm:pt modelId="{ADB844FD-B543-4444-818F-F0999DC68CF3}" type="pres">
      <dgm:prSet presAssocID="{BB3F3372-8126-4967-8DB2-6157162F4B48}"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5" presStyleCnt="9"/>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5" presStyleCnt="9" custScaleX="151870" custLinFactNeighborY="-2145">
        <dgm:presLayoutVars>
          <dgm:chPref val="3"/>
        </dgm:presLayoutVars>
      </dgm:prSet>
      <dgm:spPr/>
    </dgm:pt>
    <dgm:pt modelId="{14354306-A96D-4F9B-B8CB-A1923889D20A}" type="pres">
      <dgm:prSet presAssocID="{424E63FB-7A5E-47ED-BA8E-381C8BEA7B4D}" presName="rootConnector" presStyleLbl="node2" presStyleIdx="5" presStyleCnt="9"/>
      <dgm:spPr/>
    </dgm:pt>
    <dgm:pt modelId="{60EE685C-BCD2-4AF8-9900-DC7BE1C8761E}" type="pres">
      <dgm:prSet presAssocID="{424E63FB-7A5E-47ED-BA8E-381C8BEA7B4D}" presName="hierChild4" presStyleCnt="0"/>
      <dgm:spPr/>
    </dgm:pt>
    <dgm:pt modelId="{BB6E15DD-1265-4A59-8F9D-9210E52478A3}" type="pres">
      <dgm:prSet presAssocID="{A835A1B4-BD67-4C20-92E4-DC1650A22BAF}" presName="Name37" presStyleLbl="parChTrans1D3" presStyleIdx="18" presStyleCnt="28"/>
      <dgm:spPr/>
    </dgm:pt>
    <dgm:pt modelId="{E7808BAD-EF4D-4CAA-B8AA-4346EFD9F13C}" type="pres">
      <dgm:prSet presAssocID="{96F27F87-8D0C-4793-8DD2-80C1CEA6C8D0}" presName="hierRoot2" presStyleCnt="0">
        <dgm:presLayoutVars>
          <dgm:hierBranch val="init"/>
        </dgm:presLayoutVars>
      </dgm:prSet>
      <dgm:spPr/>
    </dgm:pt>
    <dgm:pt modelId="{761959A0-2B11-4923-A26A-306CD00504DF}" type="pres">
      <dgm:prSet presAssocID="{96F27F87-8D0C-4793-8DD2-80C1CEA6C8D0}" presName="rootComposite" presStyleCnt="0"/>
      <dgm:spPr/>
    </dgm:pt>
    <dgm:pt modelId="{95AB15AE-8608-4DA9-9783-4C1883CF8B60}" type="pres">
      <dgm:prSet presAssocID="{96F27F87-8D0C-4793-8DD2-80C1CEA6C8D0}" presName="rootText" presStyleLbl="node3" presStyleIdx="18" presStyleCnt="28">
        <dgm:presLayoutVars>
          <dgm:chPref val="3"/>
        </dgm:presLayoutVars>
      </dgm:prSet>
      <dgm:spPr/>
    </dgm:pt>
    <dgm:pt modelId="{689ACB16-34BB-4613-8825-482144470A36}" type="pres">
      <dgm:prSet presAssocID="{96F27F87-8D0C-4793-8DD2-80C1CEA6C8D0}" presName="rootConnector" presStyleLbl="node3" presStyleIdx="18" presStyleCnt="28"/>
      <dgm:spPr/>
    </dgm:pt>
    <dgm:pt modelId="{F2C98CBD-B7A6-43E6-880F-F8B14995568D}" type="pres">
      <dgm:prSet presAssocID="{96F27F87-8D0C-4793-8DD2-80C1CEA6C8D0}" presName="hierChild4" presStyleCnt="0"/>
      <dgm:spPr/>
    </dgm:pt>
    <dgm:pt modelId="{B75FF3AE-B7AA-478A-AF57-DADACE81BC28}" type="pres">
      <dgm:prSet presAssocID="{96F27F87-8D0C-4793-8DD2-80C1CEA6C8D0}" presName="hierChild5" presStyleCnt="0"/>
      <dgm:spPr/>
    </dgm:pt>
    <dgm:pt modelId="{FBC26703-2B8E-4667-8D30-6549C1A0661F}" type="pres">
      <dgm:prSet presAssocID="{2E790CF7-B1E3-44BC-8F1D-75554DDB4AE8}" presName="Name37" presStyleLbl="parChTrans1D3" presStyleIdx="19" presStyleCnt="28"/>
      <dgm:spPr/>
    </dgm:pt>
    <dgm:pt modelId="{2BA6EECD-9F52-4F9D-8532-980ADA800E06}" type="pres">
      <dgm:prSet presAssocID="{3CD466A9-47B9-40B6-A811-E4386C5CEFD3}" presName="hierRoot2" presStyleCnt="0">
        <dgm:presLayoutVars>
          <dgm:hierBranch val="init"/>
        </dgm:presLayoutVars>
      </dgm:prSet>
      <dgm:spPr/>
    </dgm:pt>
    <dgm:pt modelId="{8CB9B523-4B5F-465E-A386-64A7BA70FBB9}" type="pres">
      <dgm:prSet presAssocID="{3CD466A9-47B9-40B6-A811-E4386C5CEFD3}" presName="rootComposite" presStyleCnt="0"/>
      <dgm:spPr/>
    </dgm:pt>
    <dgm:pt modelId="{2F3B11AF-65A0-4367-BB88-1A7C587F296A}" type="pres">
      <dgm:prSet presAssocID="{3CD466A9-47B9-40B6-A811-E4386C5CEFD3}" presName="rootText" presStyleLbl="node3" presStyleIdx="19" presStyleCnt="28">
        <dgm:presLayoutVars>
          <dgm:chPref val="3"/>
        </dgm:presLayoutVars>
      </dgm:prSet>
      <dgm:spPr/>
    </dgm:pt>
    <dgm:pt modelId="{271484D6-34EA-45FB-8FC1-25EA37E45469}" type="pres">
      <dgm:prSet presAssocID="{3CD466A9-47B9-40B6-A811-E4386C5CEFD3}" presName="rootConnector" presStyleLbl="node3" presStyleIdx="19" presStyleCnt="28"/>
      <dgm:spPr/>
    </dgm:pt>
    <dgm:pt modelId="{EC931EBD-8452-451B-A023-D12F3EC9A23C}" type="pres">
      <dgm:prSet presAssocID="{3CD466A9-47B9-40B6-A811-E4386C5CEFD3}" presName="hierChild4" presStyleCnt="0"/>
      <dgm:spPr/>
    </dgm:pt>
    <dgm:pt modelId="{696091AB-4165-410A-BBFA-3C91FB18A165}" type="pres">
      <dgm:prSet presAssocID="{3CD466A9-47B9-40B6-A811-E4386C5CEFD3}" presName="hierChild5" presStyleCnt="0"/>
      <dgm:spPr/>
    </dgm:pt>
    <dgm:pt modelId="{BF705543-8EE9-4A05-97D7-9198F5ECD503}" type="pres">
      <dgm:prSet presAssocID="{C3568772-926B-4B72-AF1B-D5186B8686DF}" presName="Name37" presStyleLbl="parChTrans1D3" presStyleIdx="20" presStyleCnt="28"/>
      <dgm:spPr/>
    </dgm:pt>
    <dgm:pt modelId="{61540007-2A93-4400-87B7-15CDF03F7AEA}" type="pres">
      <dgm:prSet presAssocID="{BD6CA9F7-66FF-4793-A477-7DE3D96A2613}" presName="hierRoot2" presStyleCnt="0">
        <dgm:presLayoutVars>
          <dgm:hierBranch val="init"/>
        </dgm:presLayoutVars>
      </dgm:prSet>
      <dgm:spPr/>
    </dgm:pt>
    <dgm:pt modelId="{96AE8C08-891E-4FA3-B891-510B11046D51}" type="pres">
      <dgm:prSet presAssocID="{BD6CA9F7-66FF-4793-A477-7DE3D96A2613}" presName="rootComposite" presStyleCnt="0"/>
      <dgm:spPr/>
    </dgm:pt>
    <dgm:pt modelId="{6A725167-5E4B-4D53-AD0B-C2B31AE53EF1}" type="pres">
      <dgm:prSet presAssocID="{BD6CA9F7-66FF-4793-A477-7DE3D96A2613}" presName="rootText" presStyleLbl="node3" presStyleIdx="20" presStyleCnt="28">
        <dgm:presLayoutVars>
          <dgm:chPref val="3"/>
        </dgm:presLayoutVars>
      </dgm:prSet>
      <dgm:spPr/>
    </dgm:pt>
    <dgm:pt modelId="{6FBE3909-B189-466B-9180-56201C4535C9}" type="pres">
      <dgm:prSet presAssocID="{BD6CA9F7-66FF-4793-A477-7DE3D96A2613}" presName="rootConnector" presStyleLbl="node3" presStyleIdx="20" presStyleCnt="28"/>
      <dgm:spPr/>
    </dgm:pt>
    <dgm:pt modelId="{BB6B9D18-D60A-4A2D-A8F6-ABC9BA164C98}" type="pres">
      <dgm:prSet presAssocID="{BD6CA9F7-66FF-4793-A477-7DE3D96A2613}" presName="hierChild4" presStyleCnt="0"/>
      <dgm:spPr/>
    </dgm:pt>
    <dgm:pt modelId="{AD7E1F1D-822B-43C4-8383-6E63111B357D}" type="pres">
      <dgm:prSet presAssocID="{BD6CA9F7-66FF-4793-A477-7DE3D96A2613}"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6" presStyleCnt="9"/>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6" presStyleCnt="9" custScaleX="142721" custLinFactNeighborY="-2145">
        <dgm:presLayoutVars>
          <dgm:chPref val="3"/>
        </dgm:presLayoutVars>
      </dgm:prSet>
      <dgm:spPr/>
    </dgm:pt>
    <dgm:pt modelId="{826A7F83-80B8-45B1-B66F-D6D09AC2C066}" type="pres">
      <dgm:prSet presAssocID="{5901CCA6-EF9E-4F05-B532-AFA0A830E4D5}" presName="rootConnector" presStyleLbl="node2" presStyleIdx="6" presStyleCnt="9"/>
      <dgm:spPr/>
    </dgm:pt>
    <dgm:pt modelId="{A3EF5188-FB3C-4934-BB09-246D4D5078CE}" type="pres">
      <dgm:prSet presAssocID="{5901CCA6-EF9E-4F05-B532-AFA0A830E4D5}" presName="hierChild4" presStyleCnt="0"/>
      <dgm:spPr/>
    </dgm:pt>
    <dgm:pt modelId="{6EEB592F-7552-4FFF-A0E9-68D526D5F137}" type="pres">
      <dgm:prSet presAssocID="{5E32540D-86C2-420F-AD04-172572619921}" presName="Name37" presStyleLbl="parChTrans1D3" presStyleIdx="21" presStyleCnt="28"/>
      <dgm:spPr/>
    </dgm:pt>
    <dgm:pt modelId="{105F11EA-C2E7-4E0D-B6F9-4842CFA1549A}" type="pres">
      <dgm:prSet presAssocID="{C189270E-B1F9-4E36-A869-174CBED918BD}" presName="hierRoot2" presStyleCnt="0">
        <dgm:presLayoutVars>
          <dgm:hierBranch val="init"/>
        </dgm:presLayoutVars>
      </dgm:prSet>
      <dgm:spPr/>
    </dgm:pt>
    <dgm:pt modelId="{5869058F-9501-470F-84CB-B70A26F114CE}" type="pres">
      <dgm:prSet presAssocID="{C189270E-B1F9-4E36-A869-174CBED918BD}" presName="rootComposite" presStyleCnt="0"/>
      <dgm:spPr/>
    </dgm:pt>
    <dgm:pt modelId="{9563F0A0-D35D-4845-9E8F-55A791EA7313}" type="pres">
      <dgm:prSet presAssocID="{C189270E-B1F9-4E36-A869-174CBED918BD}" presName="rootText" presStyleLbl="node3" presStyleIdx="21" presStyleCnt="28">
        <dgm:presLayoutVars>
          <dgm:chPref val="3"/>
        </dgm:presLayoutVars>
      </dgm:prSet>
      <dgm:spPr/>
    </dgm:pt>
    <dgm:pt modelId="{93482438-9C07-44F2-9620-7CE0EB4C402D}" type="pres">
      <dgm:prSet presAssocID="{C189270E-B1F9-4E36-A869-174CBED918BD}" presName="rootConnector" presStyleLbl="node3" presStyleIdx="21" presStyleCnt="28"/>
      <dgm:spPr/>
    </dgm:pt>
    <dgm:pt modelId="{A77B589A-0838-4F12-B001-CE3786308AD9}" type="pres">
      <dgm:prSet presAssocID="{C189270E-B1F9-4E36-A869-174CBED918BD}" presName="hierChild4" presStyleCnt="0"/>
      <dgm:spPr/>
    </dgm:pt>
    <dgm:pt modelId="{596606C3-4D65-4B10-AD58-43A28570F882}" type="pres">
      <dgm:prSet presAssocID="{C189270E-B1F9-4E36-A869-174CBED918BD}" presName="hierChild5" presStyleCnt="0"/>
      <dgm:spPr/>
    </dgm:pt>
    <dgm:pt modelId="{01CB1A08-B7C6-4E70-B30C-DD8E4B3A0709}" type="pres">
      <dgm:prSet presAssocID="{7D76BBE0-50C9-432B-9B96-95DA9927123E}" presName="Name37" presStyleLbl="parChTrans1D3" presStyleIdx="22" presStyleCnt="28"/>
      <dgm:spPr/>
    </dgm:pt>
    <dgm:pt modelId="{D5EA8928-B592-4623-B982-59D558F6644F}" type="pres">
      <dgm:prSet presAssocID="{3830D530-B807-4E12-8005-8D73925574FC}" presName="hierRoot2" presStyleCnt="0">
        <dgm:presLayoutVars>
          <dgm:hierBranch val="init"/>
        </dgm:presLayoutVars>
      </dgm:prSet>
      <dgm:spPr/>
    </dgm:pt>
    <dgm:pt modelId="{CCB48D12-3A53-416E-96CA-64723C988D07}" type="pres">
      <dgm:prSet presAssocID="{3830D530-B807-4E12-8005-8D73925574FC}" presName="rootComposite" presStyleCnt="0"/>
      <dgm:spPr/>
    </dgm:pt>
    <dgm:pt modelId="{6AC8738B-E57D-49B9-A184-8CA9A4FA1296}" type="pres">
      <dgm:prSet presAssocID="{3830D530-B807-4E12-8005-8D73925574FC}" presName="rootText" presStyleLbl="node3" presStyleIdx="22" presStyleCnt="28">
        <dgm:presLayoutVars>
          <dgm:chPref val="3"/>
        </dgm:presLayoutVars>
      </dgm:prSet>
      <dgm:spPr/>
    </dgm:pt>
    <dgm:pt modelId="{6F1B8EB6-752B-4353-B379-46B4C17853D7}" type="pres">
      <dgm:prSet presAssocID="{3830D530-B807-4E12-8005-8D73925574FC}" presName="rootConnector" presStyleLbl="node3" presStyleIdx="22" presStyleCnt="28"/>
      <dgm:spPr/>
    </dgm:pt>
    <dgm:pt modelId="{F9DAD45D-6170-4C5E-84F5-9D57E71238C3}" type="pres">
      <dgm:prSet presAssocID="{3830D530-B807-4E12-8005-8D73925574FC}" presName="hierChild4" presStyleCnt="0"/>
      <dgm:spPr/>
    </dgm:pt>
    <dgm:pt modelId="{4467B472-D499-4849-812B-2895AC785526}" type="pres">
      <dgm:prSet presAssocID="{3830D530-B807-4E12-8005-8D73925574FC}" presName="hierChild5" presStyleCnt="0"/>
      <dgm:spPr/>
    </dgm:pt>
    <dgm:pt modelId="{44626B8E-D9CC-4D64-A0A9-A870DD812824}" type="pres">
      <dgm:prSet presAssocID="{5901CCA6-EF9E-4F05-B532-AFA0A830E4D5}" presName="hierChild5" presStyleCnt="0"/>
      <dgm:spPr/>
    </dgm:pt>
    <dgm:pt modelId="{95E2F74E-F847-4663-BDD7-0A5BE67FBABA}" type="pres">
      <dgm:prSet presAssocID="{05FE1BD5-3C3C-4969-A364-2530D63BDBD5}" presName="Name37" presStyleLbl="parChTrans1D2" presStyleIdx="7" presStyleCnt="9"/>
      <dgm:spPr/>
    </dgm:pt>
    <dgm:pt modelId="{58CA9A7A-FBFD-42DB-B4A3-D56704AA6977}" type="pres">
      <dgm:prSet presAssocID="{95040E2D-3B14-4838-BEEC-F567F54E210A}" presName="hierRoot2" presStyleCnt="0">
        <dgm:presLayoutVars>
          <dgm:hierBranch val="init"/>
        </dgm:presLayoutVars>
      </dgm:prSet>
      <dgm:spPr/>
    </dgm:pt>
    <dgm:pt modelId="{039843FC-32B3-4C06-BF76-AD0E8557F518}" type="pres">
      <dgm:prSet presAssocID="{95040E2D-3B14-4838-BEEC-F567F54E210A}" presName="rootComposite" presStyleCnt="0"/>
      <dgm:spPr/>
    </dgm:pt>
    <dgm:pt modelId="{66215115-E87F-416B-87DA-9B997A3EC349}" type="pres">
      <dgm:prSet presAssocID="{95040E2D-3B14-4838-BEEC-F567F54E210A}" presName="rootText" presStyleLbl="node2" presStyleIdx="7" presStyleCnt="9" custScaleX="140606" custLinFactNeighborX="-2822" custLinFactNeighborY="-2145">
        <dgm:presLayoutVars>
          <dgm:chPref val="3"/>
        </dgm:presLayoutVars>
      </dgm:prSet>
      <dgm:spPr/>
    </dgm:pt>
    <dgm:pt modelId="{09DDE27A-7945-43B7-A1B3-41101585F0CD}" type="pres">
      <dgm:prSet presAssocID="{95040E2D-3B14-4838-BEEC-F567F54E210A}" presName="rootConnector" presStyleLbl="node2" presStyleIdx="7" presStyleCnt="9"/>
      <dgm:spPr/>
    </dgm:pt>
    <dgm:pt modelId="{2A9EE20B-950C-4346-8C81-41F64B0AED1C}" type="pres">
      <dgm:prSet presAssocID="{95040E2D-3B14-4838-BEEC-F567F54E210A}" presName="hierChild4" presStyleCnt="0"/>
      <dgm:spPr/>
    </dgm:pt>
    <dgm:pt modelId="{7E7FD6F3-9126-4193-90AD-4DB11A714219}" type="pres">
      <dgm:prSet presAssocID="{8A07528D-F4B0-4FB4-8FA7-DDEC9A7051B2}" presName="Name37" presStyleLbl="parChTrans1D3" presStyleIdx="23" presStyleCnt="28"/>
      <dgm:spPr/>
    </dgm:pt>
    <dgm:pt modelId="{FAFE6A73-2F05-4C3E-978C-D046192FCEE0}" type="pres">
      <dgm:prSet presAssocID="{E0998D6C-2644-4325-8B67-3F85FF7AC556}" presName="hierRoot2" presStyleCnt="0">
        <dgm:presLayoutVars>
          <dgm:hierBranch val="init"/>
        </dgm:presLayoutVars>
      </dgm:prSet>
      <dgm:spPr/>
    </dgm:pt>
    <dgm:pt modelId="{A4756BBF-71FD-40C0-AD53-C172C19F1872}" type="pres">
      <dgm:prSet presAssocID="{E0998D6C-2644-4325-8B67-3F85FF7AC556}" presName="rootComposite" presStyleCnt="0"/>
      <dgm:spPr/>
    </dgm:pt>
    <dgm:pt modelId="{8EBC19D9-6641-4E8A-8D3E-E158CAFD8B8E}" type="pres">
      <dgm:prSet presAssocID="{E0998D6C-2644-4325-8B67-3F85FF7AC556}" presName="rootText" presStyleLbl="node3" presStyleIdx="23" presStyleCnt="28">
        <dgm:presLayoutVars>
          <dgm:chPref val="3"/>
        </dgm:presLayoutVars>
      </dgm:prSet>
      <dgm:spPr/>
    </dgm:pt>
    <dgm:pt modelId="{D6CF1455-B0E3-40A5-BAFB-D1438DB5517C}" type="pres">
      <dgm:prSet presAssocID="{E0998D6C-2644-4325-8B67-3F85FF7AC556}" presName="rootConnector" presStyleLbl="node3" presStyleIdx="23" presStyleCnt="28"/>
      <dgm:spPr/>
    </dgm:pt>
    <dgm:pt modelId="{EB52A766-D344-4AB4-A0C0-513777279628}" type="pres">
      <dgm:prSet presAssocID="{E0998D6C-2644-4325-8B67-3F85FF7AC556}" presName="hierChild4" presStyleCnt="0"/>
      <dgm:spPr/>
    </dgm:pt>
    <dgm:pt modelId="{77FED6CE-97A4-44B5-9D2E-7D1B858B9AA5}" type="pres">
      <dgm:prSet presAssocID="{E0998D6C-2644-4325-8B67-3F85FF7AC556}" presName="hierChild5" presStyleCnt="0"/>
      <dgm:spPr/>
    </dgm:pt>
    <dgm:pt modelId="{76CFC805-F291-4381-B894-07A6A5C4C115}" type="pres">
      <dgm:prSet presAssocID="{EB4C3FFE-B974-4068-9F6C-3D1366C2C293}" presName="Name37" presStyleLbl="parChTrans1D3" presStyleIdx="24" presStyleCnt="28"/>
      <dgm:spPr/>
    </dgm:pt>
    <dgm:pt modelId="{42F8D314-F696-4C68-9A64-6E6F7CE5BCFD}" type="pres">
      <dgm:prSet presAssocID="{3F2861CF-87A5-48DB-AB8C-B489C827C624}" presName="hierRoot2" presStyleCnt="0">
        <dgm:presLayoutVars>
          <dgm:hierBranch val="init"/>
        </dgm:presLayoutVars>
      </dgm:prSet>
      <dgm:spPr/>
    </dgm:pt>
    <dgm:pt modelId="{A3E0C122-7459-4644-92DB-AD070B63A3CC}" type="pres">
      <dgm:prSet presAssocID="{3F2861CF-87A5-48DB-AB8C-B489C827C624}" presName="rootComposite" presStyleCnt="0"/>
      <dgm:spPr/>
    </dgm:pt>
    <dgm:pt modelId="{0CA3CF39-25FD-4EA1-A7B0-BF6B8D245D33}" type="pres">
      <dgm:prSet presAssocID="{3F2861CF-87A5-48DB-AB8C-B489C827C624}" presName="rootText" presStyleLbl="node3" presStyleIdx="24" presStyleCnt="28">
        <dgm:presLayoutVars>
          <dgm:chPref val="3"/>
        </dgm:presLayoutVars>
      </dgm:prSet>
      <dgm:spPr/>
    </dgm:pt>
    <dgm:pt modelId="{FE2C713B-8E1B-4303-9464-1F9960D4FA6C}" type="pres">
      <dgm:prSet presAssocID="{3F2861CF-87A5-48DB-AB8C-B489C827C624}" presName="rootConnector" presStyleLbl="node3" presStyleIdx="24" presStyleCnt="28"/>
      <dgm:spPr/>
    </dgm:pt>
    <dgm:pt modelId="{57193950-FCDF-49B3-A1BC-DB15AF2D450F}" type="pres">
      <dgm:prSet presAssocID="{3F2861CF-87A5-48DB-AB8C-B489C827C624}" presName="hierChild4" presStyleCnt="0"/>
      <dgm:spPr/>
    </dgm:pt>
    <dgm:pt modelId="{F5619BAF-19ED-48A6-B55E-E8773E08E75B}" type="pres">
      <dgm:prSet presAssocID="{3F2861CF-87A5-48DB-AB8C-B489C827C624}" presName="hierChild5" presStyleCnt="0"/>
      <dgm:spPr/>
    </dgm:pt>
    <dgm:pt modelId="{30F3901F-10FF-467F-AA5B-E92464144C26}" type="pres">
      <dgm:prSet presAssocID="{9C8C4987-BC2D-402D-BB08-E7A5C227664E}" presName="Name37" presStyleLbl="parChTrans1D3" presStyleIdx="25" presStyleCnt="28"/>
      <dgm:spPr/>
    </dgm:pt>
    <dgm:pt modelId="{579FB814-1B07-4DD8-9661-A3C88C0A6DC9}" type="pres">
      <dgm:prSet presAssocID="{47BB9E9A-2EF6-4529-9890-DF601145B34C}" presName="hierRoot2" presStyleCnt="0">
        <dgm:presLayoutVars>
          <dgm:hierBranch val="init"/>
        </dgm:presLayoutVars>
      </dgm:prSet>
      <dgm:spPr/>
    </dgm:pt>
    <dgm:pt modelId="{C9E726DE-C590-49DF-B29F-D3312E2CC6B3}" type="pres">
      <dgm:prSet presAssocID="{47BB9E9A-2EF6-4529-9890-DF601145B34C}" presName="rootComposite" presStyleCnt="0"/>
      <dgm:spPr/>
    </dgm:pt>
    <dgm:pt modelId="{5D92E2B7-A3E1-4909-BB39-66BB32FBB9E1}" type="pres">
      <dgm:prSet presAssocID="{47BB9E9A-2EF6-4529-9890-DF601145B34C}" presName="rootText" presStyleLbl="node3" presStyleIdx="25" presStyleCnt="28">
        <dgm:presLayoutVars>
          <dgm:chPref val="3"/>
        </dgm:presLayoutVars>
      </dgm:prSet>
      <dgm:spPr/>
    </dgm:pt>
    <dgm:pt modelId="{E0C07ED8-6B5B-454A-8BFC-10BA74FEAD57}" type="pres">
      <dgm:prSet presAssocID="{47BB9E9A-2EF6-4529-9890-DF601145B34C}" presName="rootConnector" presStyleLbl="node3" presStyleIdx="25" presStyleCnt="28"/>
      <dgm:spPr/>
    </dgm:pt>
    <dgm:pt modelId="{FCEEA3F2-56D6-4E3D-8C00-933A11A78993}" type="pres">
      <dgm:prSet presAssocID="{47BB9E9A-2EF6-4529-9890-DF601145B34C}" presName="hierChild4" presStyleCnt="0"/>
      <dgm:spPr/>
    </dgm:pt>
    <dgm:pt modelId="{F12085D3-7B75-496B-AD56-AD439F95C6DA}" type="pres">
      <dgm:prSet presAssocID="{47BB9E9A-2EF6-4529-9890-DF601145B34C}" presName="hierChild5" presStyleCnt="0"/>
      <dgm:spPr/>
    </dgm:pt>
    <dgm:pt modelId="{3833F1C6-A6B1-46E6-8A15-F930B1F8D329}" type="pres">
      <dgm:prSet presAssocID="{95040E2D-3B14-4838-BEEC-F567F54E210A}" presName="hierChild5" presStyleCnt="0"/>
      <dgm:spPr/>
    </dgm:pt>
    <dgm:pt modelId="{6859BE2E-B830-41FF-B86E-79A6F3BD7732}" type="pres">
      <dgm:prSet presAssocID="{C0EE7375-36E6-4281-9237-5F5EEB6505C0}" presName="Name37" presStyleLbl="parChTrans1D2" presStyleIdx="8" presStyleCnt="9"/>
      <dgm:spPr/>
    </dgm:pt>
    <dgm:pt modelId="{8D866DCF-59CC-4DD5-B28E-62F3EE38D392}" type="pres">
      <dgm:prSet presAssocID="{905ED552-0ABB-46DE-A60F-9DB1B7EBD348}" presName="hierRoot2" presStyleCnt="0">
        <dgm:presLayoutVars>
          <dgm:hierBranch val="init"/>
        </dgm:presLayoutVars>
      </dgm:prSet>
      <dgm:spPr/>
    </dgm:pt>
    <dgm:pt modelId="{8AA59441-871E-4CB9-974F-BBB2590582D3}" type="pres">
      <dgm:prSet presAssocID="{905ED552-0ABB-46DE-A60F-9DB1B7EBD348}" presName="rootComposite" presStyleCnt="0"/>
      <dgm:spPr/>
    </dgm:pt>
    <dgm:pt modelId="{9A7C5AEB-3E05-469A-95FE-22BE39540AE1}" type="pres">
      <dgm:prSet presAssocID="{905ED552-0ABB-46DE-A60F-9DB1B7EBD348}" presName="rootText" presStyleLbl="node2" presStyleIdx="8" presStyleCnt="9" custScaleX="211422" custLinFactNeighborX="-2822" custLinFactNeighborY="-2145">
        <dgm:presLayoutVars>
          <dgm:chPref val="3"/>
        </dgm:presLayoutVars>
      </dgm:prSet>
      <dgm:spPr/>
    </dgm:pt>
    <dgm:pt modelId="{43608A5B-3808-436B-B5E2-C7A7C19E947A}" type="pres">
      <dgm:prSet presAssocID="{905ED552-0ABB-46DE-A60F-9DB1B7EBD348}" presName="rootConnector" presStyleLbl="node2" presStyleIdx="8" presStyleCnt="9"/>
      <dgm:spPr/>
    </dgm:pt>
    <dgm:pt modelId="{07619283-906A-4B7F-A688-B948772364C0}" type="pres">
      <dgm:prSet presAssocID="{905ED552-0ABB-46DE-A60F-9DB1B7EBD348}" presName="hierChild4" presStyleCnt="0"/>
      <dgm:spPr/>
    </dgm:pt>
    <dgm:pt modelId="{DC6EFDC1-E4BD-4838-817D-03402F58B55F}" type="pres">
      <dgm:prSet presAssocID="{9B76133A-58E1-425C-A6DC-773F9755ED1D}" presName="Name37" presStyleLbl="parChTrans1D3" presStyleIdx="26" presStyleCnt="28"/>
      <dgm:spPr/>
    </dgm:pt>
    <dgm:pt modelId="{35D07A7B-43EF-4D9B-85A3-0E5F9985C792}" type="pres">
      <dgm:prSet presAssocID="{FF0FD6ED-6749-448D-9145-444F79A1C354}" presName="hierRoot2" presStyleCnt="0">
        <dgm:presLayoutVars>
          <dgm:hierBranch val="init"/>
        </dgm:presLayoutVars>
      </dgm:prSet>
      <dgm:spPr/>
    </dgm:pt>
    <dgm:pt modelId="{9EC1469D-2A56-4593-836C-982F567F1FED}" type="pres">
      <dgm:prSet presAssocID="{FF0FD6ED-6749-448D-9145-444F79A1C354}" presName="rootComposite" presStyleCnt="0"/>
      <dgm:spPr/>
    </dgm:pt>
    <dgm:pt modelId="{9C833CA3-79E2-4D8E-9A5F-BCE8BC3D1FE0}" type="pres">
      <dgm:prSet presAssocID="{FF0FD6ED-6749-448D-9145-444F79A1C354}" presName="rootText" presStyleLbl="node3" presStyleIdx="26" presStyleCnt="28">
        <dgm:presLayoutVars>
          <dgm:chPref val="3"/>
        </dgm:presLayoutVars>
      </dgm:prSet>
      <dgm:spPr/>
    </dgm:pt>
    <dgm:pt modelId="{F96B7718-516C-4015-8D29-1CCD48F130B2}" type="pres">
      <dgm:prSet presAssocID="{FF0FD6ED-6749-448D-9145-444F79A1C354}" presName="rootConnector" presStyleLbl="node3" presStyleIdx="26" presStyleCnt="28"/>
      <dgm:spPr/>
    </dgm:pt>
    <dgm:pt modelId="{7A807D32-FBE8-43EB-BFBE-E23354459445}" type="pres">
      <dgm:prSet presAssocID="{FF0FD6ED-6749-448D-9145-444F79A1C354}" presName="hierChild4" presStyleCnt="0"/>
      <dgm:spPr/>
    </dgm:pt>
    <dgm:pt modelId="{F97BFA78-C8D3-4A83-9FAE-E0DDE0090FE6}" type="pres">
      <dgm:prSet presAssocID="{FF0FD6ED-6749-448D-9145-444F79A1C354}" presName="hierChild5" presStyleCnt="0"/>
      <dgm:spPr/>
    </dgm:pt>
    <dgm:pt modelId="{DD1684F2-D3F8-4EFD-9D56-20735B499D95}" type="pres">
      <dgm:prSet presAssocID="{9ED8F46A-F79E-423E-9B0A-B1B2E210D980}" presName="Name37" presStyleLbl="parChTrans1D3" presStyleIdx="27" presStyleCnt="28"/>
      <dgm:spPr/>
    </dgm:pt>
    <dgm:pt modelId="{23353BE9-DDE3-4832-AD6E-654F7F77F3DE}" type="pres">
      <dgm:prSet presAssocID="{9080C49B-FE4D-48E7-997C-D8CBD46ED5D9}" presName="hierRoot2" presStyleCnt="0">
        <dgm:presLayoutVars>
          <dgm:hierBranch val="init"/>
        </dgm:presLayoutVars>
      </dgm:prSet>
      <dgm:spPr/>
    </dgm:pt>
    <dgm:pt modelId="{F9CB08CF-0141-4541-8793-2572AAD7D041}" type="pres">
      <dgm:prSet presAssocID="{9080C49B-FE4D-48E7-997C-D8CBD46ED5D9}" presName="rootComposite" presStyleCnt="0"/>
      <dgm:spPr/>
    </dgm:pt>
    <dgm:pt modelId="{D8FF565D-208D-4B4A-9112-1B9757F98831}" type="pres">
      <dgm:prSet presAssocID="{9080C49B-FE4D-48E7-997C-D8CBD46ED5D9}" presName="rootText" presStyleLbl="node3" presStyleIdx="27" presStyleCnt="28">
        <dgm:presLayoutVars>
          <dgm:chPref val="3"/>
        </dgm:presLayoutVars>
      </dgm:prSet>
      <dgm:spPr/>
    </dgm:pt>
    <dgm:pt modelId="{A2365CBB-351A-401D-A489-98414E649446}" type="pres">
      <dgm:prSet presAssocID="{9080C49B-FE4D-48E7-997C-D8CBD46ED5D9}" presName="rootConnector" presStyleLbl="node3" presStyleIdx="27" presStyleCnt="28"/>
      <dgm:spPr/>
    </dgm:pt>
    <dgm:pt modelId="{04A4843F-6750-41C1-A543-8AF0C052C701}" type="pres">
      <dgm:prSet presAssocID="{9080C49B-FE4D-48E7-997C-D8CBD46ED5D9}" presName="hierChild4" presStyleCnt="0"/>
      <dgm:spPr/>
    </dgm:pt>
    <dgm:pt modelId="{B3973681-638B-4BD2-B7AD-134B78BBBAFF}" type="pres">
      <dgm:prSet presAssocID="{9080C49B-FE4D-48E7-997C-D8CBD46ED5D9}" presName="hierChild5" presStyleCnt="0"/>
      <dgm:spPr/>
    </dgm:pt>
    <dgm:pt modelId="{836B10AC-82D9-4DB4-A773-693582BDB9D0}" type="pres">
      <dgm:prSet presAssocID="{905ED552-0ABB-46DE-A60F-9DB1B7EBD348}" presName="hierChild5" presStyleCnt="0"/>
      <dgm:spPr/>
    </dgm:pt>
    <dgm:pt modelId="{3B9D5E95-1320-46BA-A01E-BC0D01F0FFE2}" type="pres">
      <dgm:prSet presAssocID="{0102E4FE-20A8-44CB-9044-37DB2019EEF7}" presName="hierChild3" presStyleCnt="0"/>
      <dgm:spPr/>
    </dgm:pt>
  </dgm:ptLst>
  <dgm:cxnLst>
    <dgm:cxn modelId="{EF2C1200-4EA1-4E21-A105-596011B10149}" srcId="{C9D0B5BF-B7C3-4EE0-95D1-49FD73D05D79}" destId="{ACC47AE5-8F11-4C89-A3BA-0142D6FF2B89}" srcOrd="3" destOrd="0" parTransId="{84501513-03A8-4BD6-B53F-CC991DD051D2}" sibTransId="{6014BFB1-90D4-437A-80C1-446A72918B55}"/>
    <dgm:cxn modelId="{FF4A8B00-EE33-4623-B33E-8465F4CFDA3F}" type="presOf" srcId="{61AAB74A-772D-40A8-8E4B-E08053C322A7}" destId="{3E5247BE-5815-4AB6-AAD1-80D3D2D0FC5D}" srcOrd="1" destOrd="0" presId="urn:microsoft.com/office/officeart/2005/8/layout/orgChart1"/>
    <dgm:cxn modelId="{E55DB602-DC2A-4A90-AEBC-D3FA9C19E981}" srcId="{0102E4FE-20A8-44CB-9044-37DB2019EEF7}" destId="{5901CCA6-EF9E-4F05-B532-AFA0A830E4D5}" srcOrd="6" destOrd="0" parTransId="{3AAD358E-6C2A-45F6-8AEA-D2444BC59F19}" sibTransId="{DA81767C-EE83-44C2-9E22-3E8E99D8403B}"/>
    <dgm:cxn modelId="{53B63F03-0985-48A4-80C2-706BB670BA50}" type="presOf" srcId="{97F38E1B-8B0A-4C1C-BB0E-8DC2824BBDEE}" destId="{8D28DA9C-651E-493C-AEB4-8DE7C4670A76}"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18C83804-C496-4859-80FA-3B22CE68200C}" type="presOf" srcId="{61AAB74A-772D-40A8-8E4B-E08053C322A7}" destId="{B5EA85A1-AF03-424D-862B-4F7C13829B51}" srcOrd="0" destOrd="0" presId="urn:microsoft.com/office/officeart/2005/8/layout/orgChart1"/>
    <dgm:cxn modelId="{52C50605-3271-458F-8A2D-1F23CA9CF09D}" srcId="{B6389D6D-8AE5-4B3C-9BF6-CF7D2B974EDD}" destId="{61B98582-12DE-4D2E-98B1-559B83192F52}" srcOrd="0" destOrd="0" parTransId="{D8EE6B38-0E4D-456A-81EC-D7BD003387D9}" sibTransId="{58C0523F-4FF9-4514-AC96-6B7DB5AA31FF}"/>
    <dgm:cxn modelId="{D22FB205-EC93-41D4-8F7D-EB7A45172B72}" type="presOf" srcId="{57B1D34F-C6DF-4088-A62B-DA3BA410AB14}" destId="{E941135A-1407-47D1-B469-646C76E82807}" srcOrd="0" destOrd="0" presId="urn:microsoft.com/office/officeart/2005/8/layout/orgChart1"/>
    <dgm:cxn modelId="{E46A1F06-1628-4E9E-AFBD-3537992B0D70}" type="presOf" srcId="{86AF350A-A785-4BDD-9C13-1E90196942B4}" destId="{61BD3AC5-6CF6-4CA9-B7DA-7A4EF7D20243}" srcOrd="1" destOrd="0" presId="urn:microsoft.com/office/officeart/2005/8/layout/orgChart1"/>
    <dgm:cxn modelId="{2EF68108-E8B7-474B-8353-E9F793FEAD9F}" type="presOf" srcId="{31105894-8FE9-4968-AFB7-DDB6BC538A2D}" destId="{F15F62B6-22D0-48F7-9F58-1C264B09AC2E}"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8CD6EA09-3225-49D5-80E7-9237A4415274}" type="presOf" srcId="{96F27F87-8D0C-4793-8DD2-80C1CEA6C8D0}" destId="{689ACB16-34BB-4613-8825-482144470A36}" srcOrd="1" destOrd="0" presId="urn:microsoft.com/office/officeart/2005/8/layout/orgChart1"/>
    <dgm:cxn modelId="{EE0F630A-CDD2-46E7-9BE9-EFADA195906C}" type="presOf" srcId="{8D244D8F-C792-40BC-A511-7DE39E45E194}" destId="{4C9AEEA8-806B-4221-A8CF-497F84C39D63}" srcOrd="0" destOrd="0" presId="urn:microsoft.com/office/officeart/2005/8/layout/orgChart1"/>
    <dgm:cxn modelId="{D8EA750A-F36B-47B7-A675-C3ECE4393BA3}" type="presOf" srcId="{BD6CA9F7-66FF-4793-A477-7DE3D96A2613}" destId="{6A725167-5E4B-4D53-AD0B-C2B31AE53EF1}"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9EB1AC0A-6E95-4C0F-A5CC-95B8F5B430E1}" type="presOf" srcId="{95040E2D-3B14-4838-BEEC-F567F54E210A}" destId="{66215115-E87F-416B-87DA-9B997A3EC349}"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0DA32A0C-EA1C-4DA4-A1A2-CAF7B800A240}" type="presOf" srcId="{6FEF53BF-C4D9-4ACB-B4E9-D7A91EDE22DC}" destId="{CAB5E8BB-F7BB-4348-AFDC-2A5F7C1BB986}" srcOrd="0" destOrd="0" presId="urn:microsoft.com/office/officeart/2005/8/layout/orgChart1"/>
    <dgm:cxn modelId="{9F7A600D-F095-4CDC-BD1C-AB79E80D275E}" srcId="{4D29C077-1695-455C-9DAA-E15887E6F57B}" destId="{D9107A63-812B-4280-AE64-58C5CC40691A}" srcOrd="2" destOrd="0" parTransId="{11759A9E-54A0-4898-A0BC-D61C8AA90E83}" sibTransId="{6371A91B-388B-4BBB-88AA-92F5FD6C4524}"/>
    <dgm:cxn modelId="{93788C0D-D6C7-40AF-839E-983BE72F26EE}" type="presOf" srcId="{17FCC9DE-0907-492E-BAAE-E403BDC490F2}" destId="{4DC370E8-C554-48DD-9281-CE956BBCACC1}" srcOrd="0" destOrd="0" presId="urn:microsoft.com/office/officeart/2005/8/layout/orgChart1"/>
    <dgm:cxn modelId="{35D49F0D-8247-48D4-BFCC-E8F9E668BBF5}" type="presOf" srcId="{EBA54DFC-7FC3-4D85-9BDE-4CD347E65E6C}" destId="{82E60BB5-7FD2-4219-AE7C-29971BDCB4BB}" srcOrd="0" destOrd="0" presId="urn:microsoft.com/office/officeart/2005/8/layout/orgChart1"/>
    <dgm:cxn modelId="{22CB8A0E-1065-4525-96E3-5C436A33C6A7}" type="presOf" srcId="{24DF324B-17D5-4F41-B71F-0E5753E2637E}" destId="{B77D1EE6-85B4-4C3A-9191-A38967AE2BB9}" srcOrd="1" destOrd="0" presId="urn:microsoft.com/office/officeart/2005/8/layout/orgChart1"/>
    <dgm:cxn modelId="{A529000F-9DFF-472F-AC8E-2B3A7C205923}" type="presOf" srcId="{96F27F87-8D0C-4793-8DD2-80C1CEA6C8D0}" destId="{95AB15AE-8608-4DA9-9783-4C1883CF8B60}" srcOrd="0"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DBF3B111-58CE-451E-8E6D-6C8D289AC1AC}" srcId="{95040E2D-3B14-4838-BEEC-F567F54E210A}" destId="{47BB9E9A-2EF6-4529-9890-DF601145B34C}" srcOrd="2" destOrd="0" parTransId="{9C8C4987-BC2D-402D-BB08-E7A5C227664E}" sibTransId="{9F985820-A59B-49C7-AB1A-95E7194084AD}"/>
    <dgm:cxn modelId="{A7259E13-E229-4A4E-A830-5FCF28578837}" srcId="{B6389D6D-8AE5-4B3C-9BF6-CF7D2B974EDD}" destId="{4E449FBA-D799-4060-9893-01C39471A7F5}" srcOrd="2" destOrd="0" parTransId="{59D0DEF8-EA5F-4DC8-8392-680DDEE825F4}" sibTransId="{AFC9C495-E3EC-47BA-81A9-86238F0DB38A}"/>
    <dgm:cxn modelId="{E4E2F013-6146-4D1A-B735-BACBA9EBF34A}" srcId="{97F38E1B-8B0A-4C1C-BB0E-8DC2824BBDEE}" destId="{D722AD66-857F-4EC9-9819-A5DD265CFAD7}" srcOrd="0" destOrd="0" parTransId="{117742C0-6773-4105-9637-91DE5F062F47}" sibTransId="{E76BEE84-8B32-4AF0-93BF-714273072C26}"/>
    <dgm:cxn modelId="{5B84FC13-ADE8-4622-94D2-510D00AF2AB4}" type="presOf" srcId="{C3568772-926B-4B72-AF1B-D5186B8686DF}" destId="{BF705543-8EE9-4A05-97D7-9198F5ECD503}"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CEEC6915-E031-4C53-AD8C-23EE863D4938}" type="presOf" srcId="{61B98582-12DE-4D2E-98B1-559B83192F52}" destId="{79BC1533-D80B-400B-9906-B028A22E2881}" srcOrd="0" destOrd="0" presId="urn:microsoft.com/office/officeart/2005/8/layout/orgChart1"/>
    <dgm:cxn modelId="{E7DB8715-2B28-4C45-85B1-D81A902F7408}" type="presOf" srcId="{9080C49B-FE4D-48E7-997C-D8CBD46ED5D9}" destId="{A2365CBB-351A-401D-A489-98414E649446}" srcOrd="1" destOrd="0" presId="urn:microsoft.com/office/officeart/2005/8/layout/orgChart1"/>
    <dgm:cxn modelId="{1DB74817-F178-43BB-A243-4D4EFB52E61F}" srcId="{D9107A63-812B-4280-AE64-58C5CC40691A}" destId="{27EDD41D-CE5B-4F05-BA23-80DEB47D6BC5}" srcOrd="2" destOrd="0" parTransId="{065C239D-A46E-4C09-8042-4C1A119F8BAA}" sibTransId="{20D081B3-1C7A-41FD-91A3-F262486BC0EC}"/>
    <dgm:cxn modelId="{9E1D9017-A0C8-4ADF-8A67-EDB758A534D5}" type="presOf" srcId="{939AE253-A7E2-4EBA-B997-5913C2301F5A}" destId="{E332D8F5-24D1-438A-A88D-967661A9895B}" srcOrd="1" destOrd="0" presId="urn:microsoft.com/office/officeart/2005/8/layout/orgChart1"/>
    <dgm:cxn modelId="{7E416619-1A68-49B8-B69B-C1957EA583C1}" type="presOf" srcId="{FD1A1E17-BB1C-4819-9E1E-839F0DF9809E}" destId="{CBB6CFF1-5517-4844-91DD-4DD73660295D}" srcOrd="1"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9ED42E1C-2CEF-45E2-9C9F-382B8F4BC967}" type="presOf" srcId="{9B76133A-58E1-425C-A6DC-773F9755ED1D}" destId="{DC6EFDC1-E4BD-4838-817D-03402F58B55F}" srcOrd="0" destOrd="0" presId="urn:microsoft.com/office/officeart/2005/8/layout/orgChart1"/>
    <dgm:cxn modelId="{C26C2D1E-982F-4FDB-A1B6-25345F13A751}" srcId="{C9D0B5BF-B7C3-4EE0-95D1-49FD73D05D79}" destId="{C98E6EC7-F1DD-4059-AE72-4B5E07EA4C21}" srcOrd="1" destOrd="0" parTransId="{E5F561AE-632D-4E0D-8517-D408AF389688}" sibTransId="{2A483377-ED74-4F12-ABBB-30E5C6D00569}"/>
    <dgm:cxn modelId="{E4B2401F-5907-4885-B9F5-B6C4B712DF2F}" srcId="{2CE28678-B80C-4E11-B66E-A7B453E759D3}" destId="{71A07EB7-D24F-449C-9C1B-C72090906ED6}" srcOrd="0" destOrd="0" parTransId="{775510F7-43CE-456A-B90C-3D3048207170}" sibTransId="{D17A99F8-F963-4756-99E3-B4FA770331ED}"/>
    <dgm:cxn modelId="{0648671F-22CB-4D56-8F68-329CB0079F85}" type="presOf" srcId="{E5F561AE-632D-4E0D-8517-D408AF389688}" destId="{8A89F35E-7F48-4116-9B53-E087577800DA}" srcOrd="0" destOrd="0" presId="urn:microsoft.com/office/officeart/2005/8/layout/orgChart1"/>
    <dgm:cxn modelId="{C972E520-078A-4D46-A72E-F53F053D94D9}" type="presOf" srcId="{5F7F4E39-AE1F-4254-A239-FC78884AB94F}" destId="{E3A63C86-20A4-432A-9BD3-977E025AAEB1}" srcOrd="0" destOrd="0" presId="urn:microsoft.com/office/officeart/2005/8/layout/orgChart1"/>
    <dgm:cxn modelId="{1D83E321-EAB3-448D-AF1E-05CBEDD454F1}" type="presOf" srcId="{47BB9E9A-2EF6-4529-9890-DF601145B34C}" destId="{5D92E2B7-A3E1-4909-BB39-66BB32FBB9E1}" srcOrd="0" destOrd="0" presId="urn:microsoft.com/office/officeart/2005/8/layout/orgChart1"/>
    <dgm:cxn modelId="{1ABDCA22-28F8-4157-96D5-A56BFA999F3D}" srcId="{D9107A63-812B-4280-AE64-58C5CC40691A}" destId="{9BDDE200-95E7-47FC-BBB2-110A2D6AA5D1}" srcOrd="1" destOrd="0" parTransId="{AAB5C8A4-8FBE-4DCB-BA6E-BDB06D4023E4}" sibTransId="{93033178-A030-439F-B997-BD77D54E508A}"/>
    <dgm:cxn modelId="{93EED623-C6AF-4720-B1E1-FE4ABB349A56}" srcId="{025397C8-278A-4FB7-A986-A1B487EA1563}" destId="{5F7F4E39-AE1F-4254-A239-FC78884AB94F}" srcOrd="3" destOrd="0" parTransId="{09DDCA2F-5E54-411D-9F85-8088752AE4E5}" sibTransId="{11A7A7D9-C91B-483C-A029-A6E1EC96A295}"/>
    <dgm:cxn modelId="{F3522324-F913-4E5E-A1CB-647100926A7B}" srcId="{F62C930D-1238-4F99-9C14-CAA9A9CF5200}" destId="{57B1D34F-C6DF-4088-A62B-DA3BA410AB14}" srcOrd="1" destOrd="0" parTransId="{17FCC9DE-0907-492E-BAAE-E403BDC490F2}" sibTransId="{A575E704-EE54-4BB3-8EDF-82420E4E071E}"/>
    <dgm:cxn modelId="{87E68224-35A9-4A9A-A691-999CB713DB1B}" type="presOf" srcId="{FD8539BA-97B6-45E5-BE32-F165308789BF}" destId="{5C3B02D7-A9B7-4BDF-8897-F12B1B1D6A2C}"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A4C6827-4FA6-482B-B3B6-684BB0AD29A1}" type="presOf" srcId="{14677D57-6C42-491D-8659-1D0EAAA481A6}" destId="{2DFFEEBC-2405-41F6-B859-471D8D802CB3}" srcOrd="0" destOrd="0" presId="urn:microsoft.com/office/officeart/2005/8/layout/orgChart1"/>
    <dgm:cxn modelId="{F38CDA27-37C1-4D51-A435-43AF2955288E}" type="presOf" srcId="{2B0C420F-9A4B-4275-B30A-C0ECE0EF9445}" destId="{E65ACC12-704A-4DB3-B473-886E758C6012}" srcOrd="0" destOrd="0" presId="urn:microsoft.com/office/officeart/2005/8/layout/orgChart1"/>
    <dgm:cxn modelId="{47CA8A28-9E3A-4D9A-830B-6B0D996D3024}" srcId="{70569C37-479B-4282-8493-96925FB5E138}" destId="{9F399C56-2035-4132-B481-B1BF8BFEC6F6}" srcOrd="2" destOrd="0" parTransId="{9E5E61FA-69D4-4920-BA7E-984605DC83C4}" sibTransId="{EDB79454-AB94-4938-80F4-B81D03B438ED}"/>
    <dgm:cxn modelId="{E6C9AB28-5846-464C-B40E-5E6A9ADC2A69}" type="presOf" srcId="{FF0FD6ED-6749-448D-9145-444F79A1C354}" destId="{9C833CA3-79E2-4D8E-9A5F-BCE8BC3D1FE0}" srcOrd="0" destOrd="0" presId="urn:microsoft.com/office/officeart/2005/8/layout/orgChart1"/>
    <dgm:cxn modelId="{9FD60E29-EC6A-49A1-8D0A-FD8839101458}" type="presOf" srcId="{11759A9E-54A0-4898-A0BC-D61C8AA90E83}" destId="{ECA5FDC4-14A3-4529-AA0E-9A25620DF249}" srcOrd="0" destOrd="0" presId="urn:microsoft.com/office/officeart/2005/8/layout/orgChart1"/>
    <dgm:cxn modelId="{28B3162A-8BAB-4432-9DE9-9B07FDF15BCA}" type="presOf" srcId="{F62C930D-1238-4F99-9C14-CAA9A9CF5200}" destId="{3E475BB6-47FF-4890-865F-481414FB60B9}" srcOrd="0" destOrd="0" presId="urn:microsoft.com/office/officeart/2005/8/layout/orgChart1"/>
    <dgm:cxn modelId="{94652D2B-D438-4692-B6A0-D6EDB203D54E}" srcId="{8BB75C25-BB24-48E5-95A1-BDDD2AD67385}" destId="{60FA8CC8-9172-4D54-8215-C833E5BAEAF3}" srcOrd="1" destOrd="0" parTransId="{95D4969D-21C2-48E7-B9F4-2935D5B369F5}" sibTransId="{82042400-1BD3-44D7-8E85-91BEFED3503B}"/>
    <dgm:cxn modelId="{6C1E5B2E-42A9-4EE9-8B6E-70FF6E5F5C46}" srcId="{424E63FB-7A5E-47ED-BA8E-381C8BEA7B4D}" destId="{3CD466A9-47B9-40B6-A811-E4386C5CEFD3}" srcOrd="1" destOrd="0" parTransId="{2E790CF7-B1E3-44BC-8F1D-75554DDB4AE8}" sibTransId="{B5B060AC-5CF9-4E15-8A92-F49587695429}"/>
    <dgm:cxn modelId="{C109F12E-EB00-40AB-80BC-6746BB598477}" type="presOf" srcId="{C9D0B5BF-B7C3-4EE0-95D1-49FD73D05D79}" destId="{5A797B3D-506B-475C-A5BD-53CB96B71636}" srcOrd="0" destOrd="0" presId="urn:microsoft.com/office/officeart/2005/8/layout/orgChart1"/>
    <dgm:cxn modelId="{38810D30-AD31-4BA2-ACB7-5E1CE1FAAE51}" type="presOf" srcId="{C189270E-B1F9-4E36-A869-174CBED918BD}" destId="{93482438-9C07-44F2-9620-7CE0EB4C402D}" srcOrd="1" destOrd="0" presId="urn:microsoft.com/office/officeart/2005/8/layout/orgChart1"/>
    <dgm:cxn modelId="{06C57730-87FA-44DF-B87D-EC5688BDD60E}" type="presOf" srcId="{266B1920-D9F8-467F-9AC8-63395B56AFC6}" destId="{AB59BE87-9633-4FD2-BBA5-1E2B6A37B44D}" srcOrd="0" destOrd="0" presId="urn:microsoft.com/office/officeart/2005/8/layout/orgChart1"/>
    <dgm:cxn modelId="{EC068630-DDA9-41D5-B416-26A3EAC4A5F9}" srcId="{905ED552-0ABB-46DE-A60F-9DB1B7EBD348}" destId="{9080C49B-FE4D-48E7-997C-D8CBD46ED5D9}" srcOrd="1" destOrd="0" parTransId="{9ED8F46A-F79E-423E-9B0A-B1B2E210D980}" sibTransId="{9E078E32-CC3D-4302-ACED-5AB78E210D35}"/>
    <dgm:cxn modelId="{062A6B31-F121-45CD-BD7F-52489EC801F8}" type="presOf" srcId="{8BB75C25-BB24-48E5-95A1-BDDD2AD67385}" destId="{3A2A1C1F-CABC-4C98-B728-F262323AA994}" srcOrd="0" destOrd="0" presId="urn:microsoft.com/office/officeart/2005/8/layout/orgChart1"/>
    <dgm:cxn modelId="{AB25B231-A315-4D63-BC65-824D1A13460D}" type="presOf" srcId="{3F2861CF-87A5-48DB-AB8C-B489C827C624}" destId="{0CA3CF39-25FD-4EA1-A7B0-BF6B8D245D33}"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7E914837-EF2A-4EA4-AADB-1947E60BCB50}" type="presOf" srcId="{95040E2D-3B14-4838-BEEC-F567F54E210A}" destId="{09DDE27A-7945-43B7-A1B3-41101585F0CD}" srcOrd="1" destOrd="0" presId="urn:microsoft.com/office/officeart/2005/8/layout/orgChart1"/>
    <dgm:cxn modelId="{A45A5337-DE99-4060-9D87-B833C7FCE637}" type="presOf" srcId="{775510F7-43CE-456A-B90C-3D3048207170}" destId="{917B5A17-DEC1-4D68-BD57-872653DA8903}" srcOrd="0" destOrd="0" presId="urn:microsoft.com/office/officeart/2005/8/layout/orgChart1"/>
    <dgm:cxn modelId="{907EB537-9054-4652-89C5-9C513440E5A5}" type="presOf" srcId="{4E449FBA-D799-4060-9893-01C39471A7F5}" destId="{1AC9D135-5D83-4305-8BBE-31B08A84BDBD}" srcOrd="0" destOrd="0" presId="urn:microsoft.com/office/officeart/2005/8/layout/orgChart1"/>
    <dgm:cxn modelId="{4D087138-A6CB-40DD-A5B3-77CF75BED566}" type="presOf" srcId="{6ED415ED-1D81-4829-9F99-E46EB3AF0B25}" destId="{194AA57E-0A57-4261-83D4-E8E121F7E638}" srcOrd="0" destOrd="0" presId="urn:microsoft.com/office/officeart/2005/8/layout/orgChart1"/>
    <dgm:cxn modelId="{3EC78838-DBA4-42D9-B5B4-969E29B100E5}" type="presOf" srcId="{9080C49B-FE4D-48E7-997C-D8CBD46ED5D9}" destId="{D8FF565D-208D-4B4A-9112-1B9757F98831}" srcOrd="0" destOrd="0" presId="urn:microsoft.com/office/officeart/2005/8/layout/orgChart1"/>
    <dgm:cxn modelId="{E7FB8C38-C6C0-4564-9F46-23B455D666B3}" srcId="{905ED552-0ABB-46DE-A60F-9DB1B7EBD348}" destId="{FF0FD6ED-6749-448D-9145-444F79A1C354}" srcOrd="0" destOrd="0" parTransId="{9B76133A-58E1-425C-A6DC-773F9755ED1D}" sibTransId="{AE7CB3BA-1943-4426-8418-937A0E7E87C5}"/>
    <dgm:cxn modelId="{A610AE3A-E71E-4DEE-A4F3-F80119A5669D}" srcId="{424E63FB-7A5E-47ED-BA8E-381C8BEA7B4D}" destId="{96F27F87-8D0C-4793-8DD2-80C1CEA6C8D0}" srcOrd="0" destOrd="0" parTransId="{A835A1B4-BD67-4C20-92E4-DC1650A22BAF}" sibTransId="{CA1BDF1E-7812-4742-A4C0-B36EC01588C2}"/>
    <dgm:cxn modelId="{00EEF23E-3E57-460F-9C7E-C93492C70DD0}" type="presOf" srcId="{5F7F4E39-AE1F-4254-A239-FC78884AB94F}" destId="{DCF64C30-17F6-4543-8704-D4F54A4915B8}" srcOrd="1" destOrd="0" presId="urn:microsoft.com/office/officeart/2005/8/layout/orgChart1"/>
    <dgm:cxn modelId="{CD0C143F-47FB-4476-8B80-45D1751A408D}" type="presOf" srcId="{862AA08E-DB59-43BF-A679-24491CE3C752}" destId="{EA703137-E13C-4E1B-8E19-459F32216575}" srcOrd="1"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E587A840-8617-4FE6-8A28-40A5F580EDAF}" type="presOf" srcId="{86AF350A-A785-4BDD-9C13-1E90196942B4}" destId="{72AC346F-2F4E-444E-8C03-BD2A3B5A48DE}" srcOrd="0" destOrd="0" presId="urn:microsoft.com/office/officeart/2005/8/layout/orgChart1"/>
    <dgm:cxn modelId="{7DD0085B-8E8D-4252-8E9C-E6CB2FA8CA1F}" type="presOf" srcId="{47BB9E9A-2EF6-4529-9890-DF601145B34C}" destId="{E0C07ED8-6B5B-454A-8BFC-10BA74FEAD57}" srcOrd="1" destOrd="0" presId="urn:microsoft.com/office/officeart/2005/8/layout/orgChart1"/>
    <dgm:cxn modelId="{C933BE5B-328B-47B4-B909-69DB4265F5BD}" type="presOf" srcId="{B1BCAF03-FCBC-4A71-90B0-17D13F90A9C6}" destId="{26CD7BA9-1BDB-44FE-ACF3-BD373E904C1D}" srcOrd="0"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68A4E75D-5597-4C1D-94C5-0394CE584CBB}" srcId="{8D244D8F-C792-40BC-A511-7DE39E45E194}" destId="{14677D57-6C42-491D-8659-1D0EAAA481A6}" srcOrd="3" destOrd="0" parTransId="{B1F9E257-306A-4E60-9134-F429C9B2CE40}" sibTransId="{50EE74F2-A05E-4553-8C9D-349A2315FB38}"/>
    <dgm:cxn modelId="{6881FD5E-7FCD-429C-B75D-8353B98C6815}" type="presOf" srcId="{57B1D34F-C6DF-4088-A62B-DA3BA410AB14}" destId="{DBC5985A-85E6-459C-B8CB-6346D2476406}" srcOrd="1"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8E5B9260-A320-40DC-B43B-1AF2003D908C}" type="presOf" srcId="{ACC47AE5-8F11-4C89-A3BA-0142D6FF2B89}" destId="{D5417EFD-1356-4DC1-914D-15DEA5738108}" srcOrd="0" destOrd="0" presId="urn:microsoft.com/office/officeart/2005/8/layout/orgChart1"/>
    <dgm:cxn modelId="{38C10A41-8B34-4F32-966D-F20264284BC1}" srcId="{C9D0B5BF-B7C3-4EE0-95D1-49FD73D05D79}" destId="{31105894-8FE9-4968-AFB7-DDB6BC538A2D}" srcOrd="2" destOrd="0" parTransId="{2B0C420F-9A4B-4275-B30A-C0ECE0EF9445}" sibTransId="{17246983-2F4B-45C6-B0E7-FBF6ECB46BC6}"/>
    <dgm:cxn modelId="{DCE56C61-7863-4B7E-9FBC-A14F58EF5778}" srcId="{86AF350A-A785-4BDD-9C13-1E90196942B4}" destId="{266B1920-D9F8-467F-9AC8-63395B56AFC6}" srcOrd="0" destOrd="0" parTransId="{43D360DB-A8D3-4D26-816F-C105652DA472}" sibTransId="{B27945EA-8E04-4B63-9D00-FD4FF2CC3E40}"/>
    <dgm:cxn modelId="{B099B561-86E7-4611-B0EC-6962418A3D39}" type="presOf" srcId="{60FA8CC8-9172-4D54-8215-C833E5BAEAF3}" destId="{1A1B6A07-3BA2-4C91-A77E-7C1B3585B6F3}" srcOrd="1" destOrd="0" presId="urn:microsoft.com/office/officeart/2005/8/layout/orgChart1"/>
    <dgm:cxn modelId="{3CC64362-E87E-43B7-A932-96526A444405}" type="presOf" srcId="{2E790CF7-B1E3-44BC-8F1D-75554DDB4AE8}" destId="{FBC26703-2B8E-4667-8D30-6549C1A066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C0A4A442-B69E-4AFC-9156-DD33CC279233}" type="presOf" srcId="{2CE28678-B80C-4E11-B66E-A7B453E759D3}" destId="{81CB6F50-739A-4556-8527-16F152648CEE}" srcOrd="1"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6D893863-16E0-4582-A237-AE14498A1869}" type="presOf" srcId="{84501513-03A8-4BD6-B53F-CC991DD051D2}" destId="{A384F49A-DCE7-4743-AF3D-96EF074C6CEA}" srcOrd="0" destOrd="0" presId="urn:microsoft.com/office/officeart/2005/8/layout/orgChart1"/>
    <dgm:cxn modelId="{12CDCC63-2B4C-4091-8139-06D06DF621DE}" type="presOf" srcId="{EC92CD42-52C3-4740-8347-52E695781E28}" destId="{BC1464FB-78A0-4E42-BDDA-BF5121921D5B}" srcOrd="0" destOrd="0" presId="urn:microsoft.com/office/officeart/2005/8/layout/orgChart1"/>
    <dgm:cxn modelId="{73E87245-3A21-4631-81E4-6AD6CBB534BE}" type="presOf" srcId="{2096C503-0BA9-4EC3-B829-53412ECECC19}" destId="{FFDAD895-FE50-481C-A60C-108A4321E094}" srcOrd="1" destOrd="0" presId="urn:microsoft.com/office/officeart/2005/8/layout/orgChart1"/>
    <dgm:cxn modelId="{8CDA7345-6041-479A-B4B3-2937B79DE703}" type="presOf" srcId="{862AA08E-DB59-43BF-A679-24491CE3C752}" destId="{FF4A6981-C3D6-43AD-95FE-CA13BFFA25FC}" srcOrd="0"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340B0A48-C31D-49D4-AC7A-570638154D82}" type="presOf" srcId="{B1F9E257-306A-4E60-9134-F429C9B2CE40}" destId="{0A19E82D-8E6C-4C7E-B889-87BAFCC766F7}" srcOrd="0" destOrd="0" presId="urn:microsoft.com/office/officeart/2005/8/layout/orgChart1"/>
    <dgm:cxn modelId="{E8490D49-0675-4EDC-B395-17442CEF5EBE}" srcId="{5F7F4E39-AE1F-4254-A239-FC78884AB94F}" destId="{61AAB74A-772D-40A8-8E4B-E08053C322A7}" srcOrd="0" destOrd="0" parTransId="{B1126516-B9CF-4FC9-9D9C-E0607D4610EB}" sibTransId="{23E7FD0B-5F27-4EC8-AD5D-2D3B5DF2115D}"/>
    <dgm:cxn modelId="{F3AD1749-23A2-44B3-A59D-774FB2B776D6}" type="presOf" srcId="{7C5C5049-7390-4327-A6D6-AB17FFC53A43}" destId="{101E7089-2CFC-4D90-BD60-75732AD7334A}" srcOrd="0" destOrd="0" presId="urn:microsoft.com/office/officeart/2005/8/layout/orgChart1"/>
    <dgm:cxn modelId="{EC6E5369-47DD-4984-AD6F-42CC6CDD629B}" type="presOf" srcId="{9F399C56-2035-4132-B481-B1BF8BFEC6F6}" destId="{87CC8DE3-7597-49C2-9FD8-4013226BDCD9}" srcOrd="1" destOrd="0" presId="urn:microsoft.com/office/officeart/2005/8/layout/orgChart1"/>
    <dgm:cxn modelId="{DFC2FA49-C41C-46C0-BDCB-097C0ABC4A1A}" type="presOf" srcId="{B77CF93A-79A0-40E5-9396-0AD36524ACA0}" destId="{8B358519-0C2C-4464-B502-83D39B61EFE0}" srcOrd="0" destOrd="0" presId="urn:microsoft.com/office/officeart/2005/8/layout/orgChart1"/>
    <dgm:cxn modelId="{E0BD576A-09D9-4AF2-95E8-5F9E45097D94}" type="presOf" srcId="{FE2301CC-0370-47FA-A15F-0270F29223F2}" destId="{FC73CBC6-1891-4E32-A99F-556859D5F3EA}" srcOrd="1"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846CDB4A-26DF-4ADB-B857-1699C8510D2F}" type="presOf" srcId="{2096C503-0BA9-4EC3-B829-53412ECECC19}" destId="{8CC792A2-A4B3-4272-8DBB-0D26D7D4FAC3}" srcOrd="0" destOrd="0" presId="urn:microsoft.com/office/officeart/2005/8/layout/orgChart1"/>
    <dgm:cxn modelId="{A0B63B4B-1E65-4CC2-9C44-69D12423331A}" type="presOf" srcId="{59D0DEF8-EA5F-4DC8-8392-680DDEE825F4}" destId="{53EDB683-E294-4AA8-865E-A34149A45E7B}" srcOrd="0" destOrd="0" presId="urn:microsoft.com/office/officeart/2005/8/layout/orgChart1"/>
    <dgm:cxn modelId="{C951FD4B-D249-44BB-9375-F69FBFCFF04C}" type="presOf" srcId="{7D76BBE0-50C9-432B-9B96-95DA9927123E}" destId="{01CB1A08-B7C6-4E70-B30C-DD8E4B3A0709}" srcOrd="0" destOrd="0" presId="urn:microsoft.com/office/officeart/2005/8/layout/orgChart1"/>
    <dgm:cxn modelId="{B66F0E6C-D7B4-457F-A189-B36E6291F125}" type="presOf" srcId="{9BDDE200-95E7-47FC-BBB2-110A2D6AA5D1}" destId="{FC353450-B9CF-4B7D-BA30-5C233F217A35}" srcOrd="0" destOrd="0" presId="urn:microsoft.com/office/officeart/2005/8/layout/orgChart1"/>
    <dgm:cxn modelId="{9ECBC94C-7EED-4DCF-A1D4-B742E4E7E1D7}" type="presOf" srcId="{D8EE6B38-0E4D-456A-81EC-D7BD003387D9}" destId="{9215BC5C-EF28-46E3-9D29-189760EA6127}" srcOrd="0" destOrd="0" presId="urn:microsoft.com/office/officeart/2005/8/layout/orgChart1"/>
    <dgm:cxn modelId="{422EDC4C-CC09-4B3D-8D81-21FB1D12797A}" type="presOf" srcId="{27EDD41D-CE5B-4F05-BA23-80DEB47D6BC5}" destId="{05C53B3B-5032-49C8-9040-4853AED28940}" srcOrd="0" destOrd="0" presId="urn:microsoft.com/office/officeart/2005/8/layout/orgChart1"/>
    <dgm:cxn modelId="{75684D6D-9488-4AED-8770-06E8164B9B1C}" type="presOf" srcId="{AB37859F-7C6D-4C76-BA45-0A0DBE373840}" destId="{6EEDBC22-0172-4D63-B345-F0F2B1AD6B01}" srcOrd="0" destOrd="0" presId="urn:microsoft.com/office/officeart/2005/8/layout/orgChart1"/>
    <dgm:cxn modelId="{9FE89A6D-8C4E-409B-999B-321EC9D281F1}" srcId="{424E63FB-7A5E-47ED-BA8E-381C8BEA7B4D}" destId="{BD6CA9F7-66FF-4793-A477-7DE3D96A2613}" srcOrd="2" destOrd="0" parTransId="{C3568772-926B-4B72-AF1B-D5186B8686DF}" sibTransId="{0C9DBF9B-40E5-49C4-8B6C-FECC8845B539}"/>
    <dgm:cxn modelId="{78A8F96F-65AB-4817-B59B-1CCBE524BAEB}" type="presOf" srcId="{B6389D6D-8AE5-4B3C-9BF6-CF7D2B974EDD}" destId="{9E9FE827-52A4-46D9-ADB2-E6FCF0B9E008}" srcOrd="0" destOrd="0" presId="urn:microsoft.com/office/officeart/2005/8/layout/orgChart1"/>
    <dgm:cxn modelId="{199D4E70-A954-4D72-BCB4-981AF6742877}" type="presOf" srcId="{9E5E61FA-69D4-4920-BA7E-984605DC83C4}" destId="{DC4DEE6B-4DD3-4A5B-B920-F9FABD7DEA4B}" srcOrd="0" destOrd="0" presId="urn:microsoft.com/office/officeart/2005/8/layout/orgChart1"/>
    <dgm:cxn modelId="{6C604551-A6A3-4243-AB35-5DFC35C27893}" srcId="{95040E2D-3B14-4838-BEEC-F567F54E210A}" destId="{E0998D6C-2644-4325-8B67-3F85FF7AC556}" srcOrd="0" destOrd="0" parTransId="{8A07528D-F4B0-4FB4-8FA7-DDEC9A7051B2}" sibTransId="{D9AE9A17-4318-4C99-AD50-9124197F72DB}"/>
    <dgm:cxn modelId="{EB2B6572-2986-461D-90F6-09A3D39D4D00}" type="presOf" srcId="{9BDDE200-95E7-47FC-BBB2-110A2D6AA5D1}" destId="{14C1E465-1010-46E0-ADED-DE14D83F30FA}" srcOrd="1"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33AE2555-4F2E-48A5-820C-7C3275D578CC}" type="presOf" srcId="{3F1B0426-4EA2-44D9-B786-B19B57D5CDEA}" destId="{1CAB3E94-5855-4109-A43C-7105AD6B26D0}" srcOrd="0" destOrd="0" presId="urn:microsoft.com/office/officeart/2005/8/layout/orgChart1"/>
    <dgm:cxn modelId="{9BDFBE75-36BB-4085-8285-0D7D4DA6174A}" type="presOf" srcId="{71A07EB7-D24F-449C-9C1B-C72090906ED6}" destId="{FBFB7893-C4BF-4C23-A1C7-990539E4794F}" srcOrd="0" destOrd="0" presId="urn:microsoft.com/office/officeart/2005/8/layout/orgChart1"/>
    <dgm:cxn modelId="{E23BC675-A8AE-4564-8DF5-27BC1B3B3BD4}" srcId="{B6389D6D-8AE5-4B3C-9BF6-CF7D2B974EDD}" destId="{EF922BA1-6C35-4861-8263-B39C0D1CB551}" srcOrd="1" destOrd="0" parTransId="{01508D33-8B5E-4B5D-BC96-47F974BD0E70}" sibTransId="{5BE102B8-7EBA-47C6-BFDC-2398CDDAA899}"/>
    <dgm:cxn modelId="{90A2C675-1CF7-45CF-8C3D-C7764BB7AA12}" type="presOf" srcId="{3CD466A9-47B9-40B6-A811-E4386C5CEFD3}" destId="{271484D6-34EA-45FB-8FC1-25EA37E45469}" srcOrd="1" destOrd="0" presId="urn:microsoft.com/office/officeart/2005/8/layout/orgChart1"/>
    <dgm:cxn modelId="{A408C955-36A2-4BC4-89EE-0D024A0A01CB}" type="presOf" srcId="{4D29C077-1695-455C-9DAA-E15887E6F57B}" destId="{05AACB28-368C-4D12-A4D8-69764BDEC4D2}" srcOrd="1" destOrd="0" presId="urn:microsoft.com/office/officeart/2005/8/layout/orgChart1"/>
    <dgm:cxn modelId="{08019056-864E-4F12-B4B2-442C39FAB2E8}" srcId="{025397C8-278A-4FB7-A986-A1B487EA1563}" destId="{2CE28678-B80C-4E11-B66E-A7B453E759D3}" srcOrd="2" destOrd="0" parTransId="{B1BCAF03-FCBC-4A71-90B0-17D13F90A9C6}" sibTransId="{484FB8F2-F979-487C-AB70-DE6BF5A8094A}"/>
    <dgm:cxn modelId="{2D73C656-4890-4D7E-9900-E6F01A870EF2}" type="presOf" srcId="{95D4969D-21C2-48E7-B9F4-2935D5B369F5}" destId="{5DE5ED83-3230-40DE-958C-7CC3FCFF93F8}" srcOrd="0" destOrd="0" presId="urn:microsoft.com/office/officeart/2005/8/layout/orgChart1"/>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C7395177-CFB5-4514-AD03-D1FABC2F523C}" type="presOf" srcId="{09DDCA2F-5E54-411D-9F85-8088752AE4E5}" destId="{5DA155C8-2302-48A2-B4B2-E75D974C90B8}" srcOrd="0" destOrd="0" presId="urn:microsoft.com/office/officeart/2005/8/layout/orgChart1"/>
    <dgm:cxn modelId="{08BCB177-AD7C-4D69-B246-B2366BB3107D}" srcId="{95040E2D-3B14-4838-BEEC-F567F54E210A}" destId="{3F2861CF-87A5-48DB-AB8C-B489C827C624}" srcOrd="1" destOrd="0" parTransId="{EB4C3FFE-B974-4068-9F6C-3D1366C2C293}" sibTransId="{817BECA9-E9EA-4BC1-88C5-0A593382707B}"/>
    <dgm:cxn modelId="{49868358-C5BD-4AA2-9C4C-30FE9A1A5FE8}" type="presOf" srcId="{702B48C3-58ED-4EDC-8F28-A5B29D60D7CF}" destId="{9D40F0E8-89BB-4444-B77D-50D149F2D0BD}" srcOrd="0" destOrd="0" presId="urn:microsoft.com/office/officeart/2005/8/layout/orgChart1"/>
    <dgm:cxn modelId="{3590A758-80FA-468F-9003-068086753A6D}" srcId="{4D29C077-1695-455C-9DAA-E15887E6F57B}" destId="{70569C37-479B-4282-8493-96925FB5E138}" srcOrd="1" destOrd="0" parTransId="{4089A354-DC6D-40E7-87B3-0C0F4415491D}" sibTransId="{FB80445F-B01A-48FE-A3BF-269762A5CC19}"/>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C6BB847A-E144-470B-A728-FB4B9622078D}" type="presOf" srcId="{D9107A63-812B-4280-AE64-58C5CC40691A}" destId="{C9AE5414-0CA3-433A-B2DC-C8106DB10739}" srcOrd="0" destOrd="0" presId="urn:microsoft.com/office/officeart/2005/8/layout/orgChart1"/>
    <dgm:cxn modelId="{338C8C5A-5D2A-47D9-83C5-6D5AA19E1997}" type="presOf" srcId="{C98E6EC7-F1DD-4059-AE72-4B5E07EA4C21}" destId="{CC55B12C-5ACE-4C47-8041-FB9582F1320F}" srcOrd="1" destOrd="0" presId="urn:microsoft.com/office/officeart/2005/8/layout/orgChart1"/>
    <dgm:cxn modelId="{B7AC3C7B-0BE2-4CB7-AD76-781FCBA9DD7A}" srcId="{8D244D8F-C792-40BC-A511-7DE39E45E194}" destId="{B6389D6D-8AE5-4B3C-9BF6-CF7D2B974EDD}" srcOrd="0" destOrd="0" parTransId="{B5B99BBF-342F-4A4E-BF02-3E97606E944D}" sibTransId="{9C75F253-3EC4-44CF-866A-C32D08314D38}"/>
    <dgm:cxn modelId="{E1F77D7B-2A06-4E5C-A616-4F79C5A2F8D2}" type="presOf" srcId="{BB3F3372-8126-4967-8DB2-6157162F4B48}" destId="{952C02DD-C676-48C4-832C-DF3BF32B78FF}" srcOrd="1" destOrd="0" presId="urn:microsoft.com/office/officeart/2005/8/layout/orgChart1"/>
    <dgm:cxn modelId="{87F9B37B-9D04-4B46-B57D-652CAC7E7729}" type="presOf" srcId="{117742C0-6773-4105-9637-91DE5F062F47}" destId="{FF93B8C2-9EF9-40C7-887A-306A3910861C}" srcOrd="0" destOrd="0" presId="urn:microsoft.com/office/officeart/2005/8/layout/orgChart1"/>
    <dgm:cxn modelId="{85EAA87C-79C9-456A-B044-909B6716BD71}" type="presOf" srcId="{C9D0B5BF-B7C3-4EE0-95D1-49FD73D05D79}" destId="{AA88D680-0A07-41F6-8035-4101B25DA7E3}" srcOrd="1" destOrd="0" presId="urn:microsoft.com/office/officeart/2005/8/layout/orgChart1"/>
    <dgm:cxn modelId="{4387ED7D-5F3B-46B7-B12F-728CA68BFDFD}" type="presOf" srcId="{602FD50F-130C-4E3A-A16E-AF79EACA12AD}" destId="{D2B32FE8-B300-4E27-B7E2-297F3F999D4E}" srcOrd="0" destOrd="0" presId="urn:microsoft.com/office/officeart/2005/8/layout/orgChart1"/>
    <dgm:cxn modelId="{0D060F7F-D22F-469A-B962-517FC4A8C9C4}" type="presOf" srcId="{905ED552-0ABB-46DE-A60F-9DB1B7EBD348}" destId="{9A7C5AEB-3E05-469A-95FE-22BE39540AE1}" srcOrd="0" destOrd="0" presId="urn:microsoft.com/office/officeart/2005/8/layout/orgChart1"/>
    <dgm:cxn modelId="{25A7167F-DF6B-457E-B8FE-9C31F86E5923}" srcId="{809B22AA-EB2B-4C4F-82C3-E979FD4CF357}" destId="{86AF350A-A785-4BDD-9C13-1E90196942B4}" srcOrd="1" destOrd="0" parTransId="{B7B3C6AE-DFBB-46A9-8CF1-A1BD803B9409}" sibTransId="{E2A53098-4FAB-4666-9DF9-9FFC35DA3367}"/>
    <dgm:cxn modelId="{34503082-5BE4-4EA3-B23E-DADD7998C4F7}" type="presOf" srcId="{C98E6EC7-F1DD-4059-AE72-4B5E07EA4C21}" destId="{B2D1F2E2-96F0-44D8-A8A7-B8DE86A3C79D}" srcOrd="0" destOrd="0" presId="urn:microsoft.com/office/officeart/2005/8/layout/orgChart1"/>
    <dgm:cxn modelId="{D517D982-681A-4DAE-9E56-05D025F2E211}" type="presOf" srcId="{424E63FB-7A5E-47ED-BA8E-381C8BEA7B4D}" destId="{14354306-A96D-4F9B-B8CB-A1923889D20A}" srcOrd="1" destOrd="0" presId="urn:microsoft.com/office/officeart/2005/8/layout/orgChart1"/>
    <dgm:cxn modelId="{2E176884-BA5D-4342-8C68-D38519A23405}" type="presOf" srcId="{2CE28678-B80C-4E11-B66E-A7B453E759D3}" destId="{309445BE-4DB4-477B-A761-9CCADF42348C}" srcOrd="0" destOrd="0" presId="urn:microsoft.com/office/officeart/2005/8/layout/orgChart1"/>
    <dgm:cxn modelId="{4E9C9B84-F00F-4CA0-963C-458B32C460CA}" type="presOf" srcId="{E0998D6C-2644-4325-8B67-3F85FF7AC556}" destId="{8EBC19D9-6641-4E8A-8D3E-E158CAFD8B8E}" srcOrd="0" destOrd="0" presId="urn:microsoft.com/office/officeart/2005/8/layout/orgChart1"/>
    <dgm:cxn modelId="{1A2A7685-7C65-4D82-83FB-12EA430EB501}" type="presOf" srcId="{3A59B8F0-06D5-4FFA-9439-9975B80A847C}" destId="{9914FC13-98B1-4335-96F8-D75C198BD29D}" srcOrd="0" destOrd="0" presId="urn:microsoft.com/office/officeart/2005/8/layout/orgChart1"/>
    <dgm:cxn modelId="{3FB38C86-C4A7-4ACE-90B6-8FCF638CF4FF}" type="presOf" srcId="{EF922BA1-6C35-4861-8263-B39C0D1CB551}" destId="{5AD1D99B-9A1D-4ED1-B429-2592B2280DC8}" srcOrd="1" destOrd="0" presId="urn:microsoft.com/office/officeart/2005/8/layout/orgChart1"/>
    <dgm:cxn modelId="{D63F2987-9256-4E87-83E1-7295DE49A703}" type="presOf" srcId="{EB4C3FFE-B974-4068-9F6C-3D1366C2C293}" destId="{76CFC805-F291-4381-B894-07A6A5C4C115}" srcOrd="0" destOrd="0" presId="urn:microsoft.com/office/officeart/2005/8/layout/orgChart1"/>
    <dgm:cxn modelId="{09096B88-FB99-49A1-A922-22AD7D185A50}" type="presOf" srcId="{5E32540D-86C2-420F-AD04-172572619921}" destId="{6EEB592F-7552-4FFF-A0E9-68D526D5F137}"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A7FE1189-2CA3-4F66-BB33-005F1BC7F96D}" type="presOf" srcId="{905ED552-0ABB-46DE-A60F-9DB1B7EBD348}" destId="{43608A5B-3808-436B-B5E2-C7A7C19E947A}" srcOrd="1" destOrd="0" presId="urn:microsoft.com/office/officeart/2005/8/layout/orgChart1"/>
    <dgm:cxn modelId="{EAC84489-DAC7-4769-B346-BB08D0D459E8}" srcId="{5F7F4E39-AE1F-4254-A239-FC78884AB94F}" destId="{24DF324B-17D5-4F41-B71F-0E5753E2637E}" srcOrd="1" destOrd="0" parTransId="{9E2FF34B-4953-4012-994C-B1999884A51A}" sibTransId="{7F2D8BBF-1BC9-46BA-B140-5A13F606C6D2}"/>
    <dgm:cxn modelId="{87D7A68F-1C31-480A-8B26-6DD9921680E9}" type="presOf" srcId="{A23A7438-E068-4208-882D-05EE6624A677}" destId="{86A68EE7-45BA-45A8-848B-343E39FFFE28}" srcOrd="1" destOrd="0" presId="urn:microsoft.com/office/officeart/2005/8/layout/orgChart1"/>
    <dgm:cxn modelId="{4F2D7490-A884-402E-B53C-5E9D1BE3E923}" type="presOf" srcId="{14677D57-6C42-491D-8659-1D0EAAA481A6}" destId="{95A75FB0-F97E-4AAA-A6BE-816E918F486F}" srcOrd="1" destOrd="0" presId="urn:microsoft.com/office/officeart/2005/8/layout/orgChart1"/>
    <dgm:cxn modelId="{29FC9692-9823-489C-AD2E-60E9A41AF5C8}" type="presOf" srcId="{4089A354-DC6D-40E7-87B3-0C0F4415491D}" destId="{28D55063-3940-488A-9702-C3D93AC20CE6}" srcOrd="0" destOrd="0" presId="urn:microsoft.com/office/officeart/2005/8/layout/orgChart1"/>
    <dgm:cxn modelId="{0FF71C93-7574-43AC-A362-9E77AF7C372E}" type="presOf" srcId="{EF922BA1-6C35-4861-8263-B39C0D1CB551}" destId="{DE9B3B8C-E94A-4323-BD39-0F71D93BF605}" srcOrd="0" destOrd="0" presId="urn:microsoft.com/office/officeart/2005/8/layout/orgChart1"/>
    <dgm:cxn modelId="{1E2B7793-1618-4944-8DA4-E1EE703EF458}" type="presOf" srcId="{0631D87C-B935-46D4-B8D7-C37BDF8C161E}" destId="{AC56313E-7D1A-40B8-A07E-A43719F70304}" srcOrd="0" destOrd="0" presId="urn:microsoft.com/office/officeart/2005/8/layout/orgChart1"/>
    <dgm:cxn modelId="{B944A895-738A-423B-9538-83C223A06D62}" type="presOf" srcId="{27EDD41D-CE5B-4F05-BA23-80DEB47D6BC5}" destId="{EEEA47F1-B788-48DD-929D-5C8B188CE6CF}" srcOrd="1" destOrd="0" presId="urn:microsoft.com/office/officeart/2005/8/layout/orgChart1"/>
    <dgm:cxn modelId="{B3CC7796-D193-48FA-A5B5-748166389F41}" srcId="{5901CCA6-EF9E-4F05-B532-AFA0A830E4D5}" destId="{C189270E-B1F9-4E36-A869-174CBED918BD}" srcOrd="0" destOrd="0" parTransId="{5E32540D-86C2-420F-AD04-172572619921}" sibTransId="{06D042F1-078F-439F-A60E-547F3BA77C1C}"/>
    <dgm:cxn modelId="{C68A7697-E8EB-4B1D-AFA1-CA1231593E8F}" type="presOf" srcId="{43D360DB-A8D3-4D26-816F-C105652DA472}" destId="{14E17D48-EDEB-435D-B3C2-B09395E9FEFB}" srcOrd="0" destOrd="0" presId="urn:microsoft.com/office/officeart/2005/8/layout/orgChart1"/>
    <dgm:cxn modelId="{7CABBF97-5FDA-474C-B29C-243E037DD048}" type="presOf" srcId="{F62C930D-1238-4F99-9C14-CAA9A9CF5200}" destId="{0ED318FC-6595-4111-9A87-606673A01095}" srcOrd="1"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8F7AF59A-A09C-4519-9E40-16E103BD2262}" srcId="{0102E4FE-20A8-44CB-9044-37DB2019EEF7}" destId="{809B22AA-EB2B-4C4F-82C3-E979FD4CF357}" srcOrd="1" destOrd="0" parTransId="{E2EA6942-20E6-4D51-99FA-C77C5E746936}" sibTransId="{A3E7A7D9-26B8-432D-9CFA-8BAF85BB66C1}"/>
    <dgm:cxn modelId="{3428119E-E8F2-4B96-96E6-5EB61E68B9D0}" type="presOf" srcId="{3A59B8F0-06D5-4FFA-9439-9975B80A847C}" destId="{259D6A3B-27FF-4011-AB5E-DB7B40D1F2E5}" srcOrd="1" destOrd="0" presId="urn:microsoft.com/office/officeart/2005/8/layout/orgChart1"/>
    <dgm:cxn modelId="{81FD159E-5A59-47E9-B060-7B6EB6770B16}" srcId="{0102E4FE-20A8-44CB-9044-37DB2019EEF7}" destId="{905ED552-0ABB-46DE-A60F-9DB1B7EBD348}" srcOrd="8" destOrd="0" parTransId="{C0EE7375-36E6-4281-9237-5F5EEB6505C0}" sibTransId="{CB9B60C3-837E-4475-B99D-FCE33FAFF27C}"/>
    <dgm:cxn modelId="{D9A9539E-AD9F-4BA7-9C9C-CB249E0555AA}" srcId="{D9107A63-812B-4280-AE64-58C5CC40691A}" destId="{2096C503-0BA9-4EC3-B829-53412ECECC19}" srcOrd="0" destOrd="0" parTransId="{EC92CD42-52C3-4740-8347-52E695781E28}" sibTransId="{27A39DC7-98FE-4659-95DC-3007AB4ADAA1}"/>
    <dgm:cxn modelId="{7921ED9E-C0CA-4DC7-9D29-CD9841C54440}" type="presOf" srcId="{AB4D5491-8D3C-455C-93A1-80D4111B7887}" destId="{D3DEE367-2894-4921-A66A-A9037DBF2BEA}" srcOrd="0" destOrd="0" presId="urn:microsoft.com/office/officeart/2005/8/layout/orgChart1"/>
    <dgm:cxn modelId="{AB8A9CA0-DBA5-48C3-B520-7F692BE60AAE}" type="presOf" srcId="{C189270E-B1F9-4E36-A869-174CBED918BD}" destId="{9563F0A0-D35D-4845-9E8F-55A791EA7313}" srcOrd="0" destOrd="0" presId="urn:microsoft.com/office/officeart/2005/8/layout/orgChart1"/>
    <dgm:cxn modelId="{921FF7A1-6729-4261-92F6-C098C46691C0}" type="presOf" srcId="{3830D530-B807-4E12-8005-8D73925574FC}" destId="{6F1B8EB6-752B-4353-B379-46B4C17853D7}" srcOrd="1" destOrd="0" presId="urn:microsoft.com/office/officeart/2005/8/layout/orgChart1"/>
    <dgm:cxn modelId="{619FA5A2-5D75-4827-9244-77F7D6B8BA70}" srcId="{C9D0B5BF-B7C3-4EE0-95D1-49FD73D05D79}" destId="{AB37859F-7C6D-4C76-BA45-0A0DBE373840}" srcOrd="0" destOrd="0" parTransId="{B77CF93A-79A0-40E5-9396-0AD36524ACA0}" sibTransId="{724CE4E5-4E73-4F11-BB7E-2CEDCD326054}"/>
    <dgm:cxn modelId="{04C93EA3-E833-4E38-A40A-78774E648F9F}" type="presOf" srcId="{7B1EB518-6926-4007-B8F0-C18BB6AFBD5C}" destId="{0E4F5CDF-7B06-4007-B10B-B4FD17AF8CF2}" srcOrd="0"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CC2ABBA9-3502-48A0-B9C9-2753E2C9DDAC}" type="presOf" srcId="{E0998D6C-2644-4325-8B67-3F85FF7AC556}" destId="{D6CF1455-B0E3-40A5-BAFB-D1438DB5517C}" srcOrd="1" destOrd="0" presId="urn:microsoft.com/office/officeart/2005/8/layout/orgChart1"/>
    <dgm:cxn modelId="{D14701AB-16E4-4564-9ED6-B48BD85784E4}" type="presOf" srcId="{065C239D-A46E-4C09-8042-4C1A119F8BAA}" destId="{ACD67D30-8778-4C1F-8557-06A29D5D73C8}" srcOrd="0"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0B2A9BAB-5749-4721-8DBB-BB98709CA976}" srcId="{809B22AA-EB2B-4C4F-82C3-E979FD4CF357}" destId="{F62C930D-1238-4F99-9C14-CAA9A9CF5200}" srcOrd="2" destOrd="0" parTransId="{7B1EB518-6926-4007-B8F0-C18BB6AFBD5C}" sibTransId="{4334DB59-73B5-4A52-900C-42C059B5873D}"/>
    <dgm:cxn modelId="{BCD4E5AB-87E9-4CC6-AF31-488A910429ED}" type="presOf" srcId="{96D368FE-2E72-4D13-B246-1FE8B850C602}" destId="{8A789041-0E66-4025-B9A7-E50454F73504}"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658D1AAD-6BDA-4347-BAB8-F3CD03E6A211}" type="presOf" srcId="{9ED8F46A-F79E-423E-9B0A-B1B2E210D980}" destId="{DD1684F2-D3F8-4EFD-9D56-20735B499D95}" srcOrd="0" destOrd="0" presId="urn:microsoft.com/office/officeart/2005/8/layout/orgChart1"/>
    <dgm:cxn modelId="{F98C2CAE-0CFD-4A5C-83E6-BA55CF07333B}" type="presOf" srcId="{C0EE7375-36E6-4281-9237-5F5EEB6505C0}" destId="{6859BE2E-B830-41FF-B86E-79A6F3BD7732}" srcOrd="0" destOrd="0" presId="urn:microsoft.com/office/officeart/2005/8/layout/orgChart1"/>
    <dgm:cxn modelId="{8BBF31B0-F084-4939-9747-3675E1E28384}" type="presOf" srcId="{24DF324B-17D5-4F41-B71F-0E5753E2637E}" destId="{953DEB0D-6844-4FE8-9CFA-7CC4A83A54C9}" srcOrd="0" destOrd="0" presId="urn:microsoft.com/office/officeart/2005/8/layout/orgChart1"/>
    <dgm:cxn modelId="{723A64B0-8C44-4CB5-83E4-D268F58686A7}" type="presOf" srcId="{8BB75C25-BB24-48E5-95A1-BDDD2AD67385}" destId="{0393B6C4-B4FB-4B6B-8DB5-37B9B19AABA4}" srcOrd="1" destOrd="0" presId="urn:microsoft.com/office/officeart/2005/8/layout/orgChart1"/>
    <dgm:cxn modelId="{3D4039B1-8191-4393-A3D9-6D98613C5F7B}" srcId="{8BB75C25-BB24-48E5-95A1-BDDD2AD67385}" destId="{BB3F3372-8126-4967-8DB2-6157162F4B48}" srcOrd="3" destOrd="0" parTransId="{C4F5EC2E-8188-4E03-84C4-040C45AD4E69}" sibTransId="{FD93E0B5-1FC7-4835-A361-563CF7967B84}"/>
    <dgm:cxn modelId="{B2227CB7-1355-4760-9C64-4E73A9B2706D}" type="presOf" srcId="{FF0FD6ED-6749-448D-9145-444F79A1C354}" destId="{F96B7718-516C-4015-8D29-1CCD48F130B2}" srcOrd="1" destOrd="0" presId="urn:microsoft.com/office/officeart/2005/8/layout/orgChart1"/>
    <dgm:cxn modelId="{909F86B8-6570-40F4-BA90-E9B186809C70}" type="presOf" srcId="{31105894-8FE9-4968-AFB7-DDB6BC538A2D}" destId="{E50652A1-B037-4DB8-9053-89B9BD8896DD}" srcOrd="1" destOrd="0" presId="urn:microsoft.com/office/officeart/2005/8/layout/orgChart1"/>
    <dgm:cxn modelId="{232697BC-36A4-46D7-AB1C-A597F4B8F055}" type="presOf" srcId="{AAB5C8A4-8FBE-4DCB-BA6E-BDB06D4023E4}" destId="{8CFD2EAA-AE75-484A-98F6-2B9A1298C8C0}" srcOrd="0" destOrd="0" presId="urn:microsoft.com/office/officeart/2005/8/layout/orgChart1"/>
    <dgm:cxn modelId="{BCAFE4BC-0361-4B7A-A254-FDDA4E361A95}" type="presOf" srcId="{70569C37-479B-4282-8493-96925FB5E138}" destId="{E9ED0A35-CF48-40AC-AEA5-7CC07D1B8C49}" srcOrd="0" destOrd="0" presId="urn:microsoft.com/office/officeart/2005/8/layout/orgChart1"/>
    <dgm:cxn modelId="{B2F7D0BE-DB5D-469B-BFDA-F47BEE6F9CF4}" srcId="{5901CCA6-EF9E-4F05-B532-AFA0A830E4D5}" destId="{3830D530-B807-4E12-8005-8D73925574FC}" srcOrd="1" destOrd="0" parTransId="{7D76BBE0-50C9-432B-9B96-95DA9927123E}" sibTransId="{3598E4D7-BA1A-46F0-8AF9-971AA6E3394A}"/>
    <dgm:cxn modelId="{1FEBFBBE-4F8E-4303-96CE-2D30D8B0A97D}" type="presOf" srcId="{FD1A1E17-BB1C-4819-9E1E-839F0DF9809E}" destId="{7FD83118-2C2B-4B0B-808F-38851C921700}" srcOrd="0" destOrd="0" presId="urn:microsoft.com/office/officeart/2005/8/layout/orgChart1"/>
    <dgm:cxn modelId="{5C9231C1-6A13-42D1-8E36-4744738DF1C2}" type="presOf" srcId="{61B98582-12DE-4D2E-98B1-559B83192F52}" destId="{9FD57774-E8E2-4590-B5BB-19A8C7DAA675}" srcOrd="1" destOrd="0" presId="urn:microsoft.com/office/officeart/2005/8/layout/orgChart1"/>
    <dgm:cxn modelId="{602ACFC1-B79D-432F-A160-A7F7A5B31A58}" type="presOf" srcId="{8B1732FA-F672-4156-8366-24B4BA91746E}" destId="{150C3395-4105-4B1C-8F76-B7ECA78B96FF}" srcOrd="0" destOrd="0" presId="urn:microsoft.com/office/officeart/2005/8/layout/orgChart1"/>
    <dgm:cxn modelId="{062946C2-4C64-4314-B7CF-754DD88BEE1D}" type="presOf" srcId="{01508D33-8B5E-4B5D-BC96-47F974BD0E70}" destId="{C08BDE50-7763-40E4-9D62-749F9B612003}" srcOrd="0" destOrd="0" presId="urn:microsoft.com/office/officeart/2005/8/layout/orgChart1"/>
    <dgm:cxn modelId="{AE17A6C3-1A5D-418D-8BD7-18C97F6D7561}" type="presOf" srcId="{4E449FBA-D799-4060-9893-01C39471A7F5}" destId="{0EEC5D51-CF9D-4411-A473-AB4E3B268702}" srcOrd="1"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0A741AC5-2EF3-4A35-824C-73B669C2B826}" type="presOf" srcId="{AB37859F-7C6D-4C76-BA45-0A0DBE373840}" destId="{A8ED0CE2-514C-4A84-9B15-AF67781518A6}" srcOrd="1" destOrd="0" presId="urn:microsoft.com/office/officeart/2005/8/layout/orgChart1"/>
    <dgm:cxn modelId="{883FC9C8-E2CC-47CD-94B9-0021ECAA4D43}" type="presOf" srcId="{6FEF53BF-C4D9-4ACB-B4E9-D7A91EDE22DC}" destId="{8B339C35-8607-4FB5-8564-04C3FB199A27}" srcOrd="1" destOrd="0" presId="urn:microsoft.com/office/officeart/2005/8/layout/orgChart1"/>
    <dgm:cxn modelId="{8B0F4DC9-55A2-46F0-A3F5-8945EFBD25CC}" srcId="{F62C930D-1238-4F99-9C14-CAA9A9CF5200}" destId="{FD1A1E17-BB1C-4819-9E1E-839F0DF9809E}" srcOrd="0" destOrd="0" parTransId="{FD8539BA-97B6-45E5-BE32-F165308789BF}" sibTransId="{CE530CEE-3EA9-4406-8236-DC8E89E1501B}"/>
    <dgm:cxn modelId="{7590B6C9-1C48-476C-9315-10EB305E2E80}" type="presOf" srcId="{B1126516-B9CF-4FC9-9D9C-E0607D4610EB}" destId="{B5CD00D6-D626-47D1-AC35-959ABF7D017C}" srcOrd="0" destOrd="0" presId="urn:microsoft.com/office/officeart/2005/8/layout/orgChart1"/>
    <dgm:cxn modelId="{6D1FBBCB-F971-4D8D-93FD-20A75B8A5887}" type="presOf" srcId="{9E2FF34B-4953-4012-994C-B1999884A51A}" destId="{6A7DD972-E039-4155-952E-92369208ECAC}" srcOrd="0" destOrd="0" presId="urn:microsoft.com/office/officeart/2005/8/layout/orgChart1"/>
    <dgm:cxn modelId="{F735D3CB-F781-4059-93C9-6E87584BA838}" type="presOf" srcId="{70569C37-479B-4282-8493-96925FB5E138}" destId="{3D25A15D-81E3-4A6F-86B6-A1E1B02091DF}" srcOrd="1" destOrd="0" presId="urn:microsoft.com/office/officeart/2005/8/layout/orgChart1"/>
    <dgm:cxn modelId="{371C19CD-118E-4C2C-AFFA-D3BBC3BFCFB9}" type="presOf" srcId="{9C8C4987-BC2D-402D-BB08-E7A5C227664E}" destId="{30F3901F-10FF-467F-AA5B-E92464144C26}" srcOrd="0" destOrd="0" presId="urn:microsoft.com/office/officeart/2005/8/layout/orgChart1"/>
    <dgm:cxn modelId="{072E40CE-13BB-4488-B7D8-4C82403BC005}" srcId="{939AE253-A7E2-4EBA-B997-5913C2301F5A}" destId="{FE2301CC-0370-47FA-A15F-0270F29223F2}" srcOrd="0" destOrd="0" parTransId="{8C625B3A-41BB-4E27-8E82-FF4DDFA1FAD9}" sibTransId="{7A36A829-4EBB-4AC1-8081-6A5EEC5AD14B}"/>
    <dgm:cxn modelId="{452268CF-FDCA-4C20-BDEF-F7F78CFB430A}" type="presOf" srcId="{BB3F3372-8126-4967-8DB2-6157162F4B48}" destId="{96B847E9-F4CD-4024-8601-19585B6BC0D2}" srcOrd="0" destOrd="0" presId="urn:microsoft.com/office/officeart/2005/8/layout/orgChart1"/>
    <dgm:cxn modelId="{C708B5D0-C5FE-494F-9D5D-D9B5422D0437}" type="presOf" srcId="{D6F5CD79-D3E1-4B19-9C25-479267A00537}" destId="{6BAFA004-7462-4BB3-8CF7-8F0FAE532698}" srcOrd="0" destOrd="0" presId="urn:microsoft.com/office/officeart/2005/8/layout/orgChart1"/>
    <dgm:cxn modelId="{F5B40FD2-56C3-4FAD-8A80-F94E2C1D26DE}" type="presOf" srcId="{3CD466A9-47B9-40B6-A811-E4386C5CEFD3}" destId="{2F3B11AF-65A0-4367-BB88-1A7C587F296A}" srcOrd="0" destOrd="0" presId="urn:microsoft.com/office/officeart/2005/8/layout/orgChart1"/>
    <dgm:cxn modelId="{78EC4BD2-AA7E-469E-9965-1EEC00E6ABF7}" type="presOf" srcId="{D722AD66-857F-4EC9-9819-A5DD265CFAD7}" destId="{077D79AE-0A00-414E-ACC9-3C7F0588F047}" srcOrd="1" destOrd="0" presId="urn:microsoft.com/office/officeart/2005/8/layout/orgChart1"/>
    <dgm:cxn modelId="{FB5100D4-F8D8-4D34-B8F6-5C70E5A9DCF0}" type="presOf" srcId="{47798007-B9FC-47C6-8CAF-AD10352A4565}" destId="{D1EA719A-EBF2-425E-9D29-7CD52B07BC03}" srcOrd="0" destOrd="0" presId="urn:microsoft.com/office/officeart/2005/8/layout/orgChart1"/>
    <dgm:cxn modelId="{1D685BD5-F6FB-4386-BACC-2D8350E580C5}" type="presOf" srcId="{8A07528D-F4B0-4FB4-8FA7-DDEC9A7051B2}" destId="{7E7FD6F3-9126-4193-90AD-4DB11A714219}" srcOrd="0" destOrd="0" presId="urn:microsoft.com/office/officeart/2005/8/layout/orgChart1"/>
    <dgm:cxn modelId="{24225CD5-48FA-4E4A-A6E0-506CABA2C585}" srcId="{602FD50F-130C-4E3A-A16E-AF79EACA12AD}" destId="{96D368FE-2E72-4D13-B246-1FE8B850C602}" srcOrd="0" destOrd="0" parTransId="{47798007-B9FC-47C6-8CAF-AD10352A4565}" sibTransId="{66AD3E18-A1DD-4F54-9367-19AF7F0D85C2}"/>
    <dgm:cxn modelId="{EC1174D6-5140-45EC-9F00-844394FA6A37}" type="presOf" srcId="{05FE1BD5-3C3C-4969-A364-2530D63BDBD5}" destId="{95E2F74E-F847-4663-BDD7-0A5BE67FBABA}" srcOrd="0" destOrd="0" presId="urn:microsoft.com/office/officeart/2005/8/layout/orgChart1"/>
    <dgm:cxn modelId="{3DF9C5D6-4055-4B64-A1F7-30F003D009EF}" type="presOf" srcId="{FE2301CC-0370-47FA-A15F-0270F29223F2}" destId="{C5CAB220-082C-4CFE-A0E8-A1D29E7FD8E3}" srcOrd="0" destOrd="0" presId="urn:microsoft.com/office/officeart/2005/8/layout/orgChart1"/>
    <dgm:cxn modelId="{847BFCD6-5753-4851-A33F-9059BD3DCACA}" srcId="{70569C37-479B-4282-8493-96925FB5E138}" destId="{3A59B8F0-06D5-4FFA-9439-9975B80A847C}" srcOrd="3" destOrd="0" parTransId="{6ED415ED-1D81-4829-9F99-E46EB3AF0B25}" sibTransId="{D35743D0-6C7D-4944-B34E-A612DB664C42}"/>
    <dgm:cxn modelId="{AA7AE4D7-D5A8-4534-90C1-7B3C4FDBEB02}" type="presOf" srcId="{A835A1B4-BD67-4C20-92E4-DC1650A22BAF}" destId="{BB6E15DD-1265-4A59-8F9D-9210E52478A3}"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E5B87BD9-5758-4E57-A95E-B45A44873B71}" type="presOf" srcId="{025397C8-278A-4FB7-A986-A1B487EA1563}" destId="{0BF99F41-2B36-4860-856E-9B912562371F}" srcOrd="0" destOrd="0" presId="urn:microsoft.com/office/officeart/2005/8/layout/orgChart1"/>
    <dgm:cxn modelId="{27A71BDB-9A54-4500-B930-9E07F8B1451A}" srcId="{70569C37-479B-4282-8493-96925FB5E138}" destId="{A23A7438-E068-4208-882D-05EE6624A677}" srcOrd="0" destOrd="0" parTransId="{C72D52AD-718E-4A36-941A-8F6E3156D78D}" sibTransId="{6589E9CA-E4EE-4275-BC11-F51B81B2FBF7}"/>
    <dgm:cxn modelId="{8321C2DB-F959-43F4-B667-B2311A271E4B}" type="presOf" srcId="{C72D52AD-718E-4A36-941A-8F6E3156D78D}" destId="{8BEAF106-541E-4D2A-A1C9-5CB298386A2C}" srcOrd="0" destOrd="0" presId="urn:microsoft.com/office/officeart/2005/8/layout/orgChart1"/>
    <dgm:cxn modelId="{0A56C6DB-31EB-4084-BBA3-788918B1E116}" srcId="{0102E4FE-20A8-44CB-9044-37DB2019EEF7}" destId="{025397C8-278A-4FB7-A986-A1B487EA1563}" srcOrd="3" destOrd="0" parTransId="{E9CCBF3B-F7D4-491B-83ED-166AFDD5DD30}" sibTransId="{03B4767C-E8A0-48F5-82FB-BC0CE0CB73C2}"/>
    <dgm:cxn modelId="{71AC53DE-8F30-4181-9F5A-69DC0A522769}" type="presOf" srcId="{A23A7438-E068-4208-882D-05EE6624A677}" destId="{E40FCE65-D2BB-409C-BE43-09744F70A1CA}" srcOrd="0" destOrd="0" presId="urn:microsoft.com/office/officeart/2005/8/layout/orgChart1"/>
    <dgm:cxn modelId="{23FFCFE0-B523-410B-B6F1-99CC967996E9}" srcId="{025397C8-278A-4FB7-A986-A1B487EA1563}" destId="{7C5C5049-7390-4327-A6D6-AB17FFC53A43}" srcOrd="0" destOrd="0" parTransId="{AB4D5491-8D3C-455C-93A1-80D4111B7887}" sibTransId="{5B318142-3C6B-415C-8001-319377E25645}"/>
    <dgm:cxn modelId="{44DACEE1-AE2B-4580-A901-009A00567754}" type="presOf" srcId="{C4F5EC2E-8188-4E03-84C4-040C45AD4E69}" destId="{AC031FE0-21D7-4C6E-AA66-DDB90A435C1D}" srcOrd="0" destOrd="0" presId="urn:microsoft.com/office/officeart/2005/8/layout/orgChart1"/>
    <dgm:cxn modelId="{9B31E0E2-D8AA-4908-8B34-13FED2E0F8F8}" type="presOf" srcId="{96D368FE-2E72-4D13-B246-1FE8B850C602}" destId="{A4D5862A-33B6-4E40-9661-9A38D1C236D5}"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D9E902E4-ECCA-4007-9C76-BAE8EE10CFA5}" type="presOf" srcId="{D9107A63-812B-4280-AE64-58C5CC40691A}" destId="{6B3B56DD-FA59-4A7E-B135-B1FED540C01D}" srcOrd="1" destOrd="0" presId="urn:microsoft.com/office/officeart/2005/8/layout/orgChart1"/>
    <dgm:cxn modelId="{5AF378E5-C576-48CB-BEA4-477B262B7436}" srcId="{14677D57-6C42-491D-8659-1D0EAAA481A6}" destId="{6FEF53BF-C4D9-4ACB-B4E9-D7A91EDE22DC}" srcOrd="0" destOrd="0" parTransId="{702B48C3-58ED-4EDC-8F28-A5B29D60D7CF}" sibTransId="{C1F235F0-30BD-451F-B7D7-39198B67EB04}"/>
    <dgm:cxn modelId="{54B2FAE6-22BB-44D2-976E-A58C3E995667}" type="presOf" srcId="{B7B3C6AE-DFBB-46A9-8CF1-A1BD803B9409}" destId="{AAF5925E-A439-4734-BFA7-0209F1E034E0}" srcOrd="0" destOrd="0" presId="urn:microsoft.com/office/officeart/2005/8/layout/orgChart1"/>
    <dgm:cxn modelId="{DB01D6E7-279E-4AA8-A572-09FA6C28F88A}" type="presOf" srcId="{D722AD66-857F-4EC9-9819-A5DD265CFAD7}" destId="{2215E6B3-FD2D-4FB4-BA09-966BC7F5FF2B}" srcOrd="0" destOrd="0" presId="urn:microsoft.com/office/officeart/2005/8/layout/orgChart1"/>
    <dgm:cxn modelId="{C95835E8-9387-442E-A110-B6FBA374643B}" type="presOf" srcId="{7C5C5049-7390-4327-A6D6-AB17FFC53A43}" destId="{6C9E8FBE-15D7-4951-8B5C-D371AC51EA30}" srcOrd="1"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1EECAFEC-BF84-463F-BC23-8D57C0F2D315}" type="presOf" srcId="{3F2861CF-87A5-48DB-AB8C-B489C827C624}" destId="{FE2C713B-8E1B-4303-9464-1F9960D4FA6C}" srcOrd="1" destOrd="0" presId="urn:microsoft.com/office/officeart/2005/8/layout/orgChart1"/>
    <dgm:cxn modelId="{E5144CED-6C47-4195-9044-58F95659EA42}" type="presOf" srcId="{71A07EB7-D24F-449C-9C1B-C72090906ED6}" destId="{B3A4D494-22BE-4615-990C-52DA630F7049}" srcOrd="1" destOrd="0" presId="urn:microsoft.com/office/officeart/2005/8/layout/orgChart1"/>
    <dgm:cxn modelId="{55D17FED-5083-4399-BAC8-51CC6D60ECD5}" type="presOf" srcId="{266B1920-D9F8-467F-9AC8-63395B56AFC6}" destId="{BCFCA983-8F8D-40A4-8023-1126C6C7E626}" srcOrd="1" destOrd="0" presId="urn:microsoft.com/office/officeart/2005/8/layout/orgChart1"/>
    <dgm:cxn modelId="{A408F9EE-88F5-4B62-AA31-C288D12A1F3E}" type="presOf" srcId="{BD6CA9F7-66FF-4793-A477-7DE3D96A2613}" destId="{6FBE3909-B189-466B-9180-56201C4535C9}" srcOrd="1"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F9010AF1-E0E8-4EB4-B9E4-4E7BE7CEC0A7}" type="presOf" srcId="{60FA8CC8-9172-4D54-8215-C833E5BAEAF3}" destId="{05B68185-236D-47CF-8CA2-C40EC5C940CF}" srcOrd="0" destOrd="0" presId="urn:microsoft.com/office/officeart/2005/8/layout/orgChart1"/>
    <dgm:cxn modelId="{A432A2F1-A76E-4740-9DAE-7A4CFDF8AF63}" type="presOf" srcId="{8C625B3A-41BB-4E27-8E82-FF4DDFA1FAD9}" destId="{C283A356-7898-4FFE-8B50-6FA2258CC574}" srcOrd="0" destOrd="0" presId="urn:microsoft.com/office/officeart/2005/8/layout/orgChart1"/>
    <dgm:cxn modelId="{2F20D4F1-099B-4748-9C18-CC183D43333C}" srcId="{70569C37-479B-4282-8493-96925FB5E138}" destId="{862AA08E-DB59-43BF-A679-24491CE3C752}" srcOrd="1" destOrd="0" parTransId="{8B1732FA-F672-4156-8366-24B4BA91746E}" sibTransId="{131BFFCA-3C5C-47F8-B761-4634E887A97E}"/>
    <dgm:cxn modelId="{57A771F2-4A02-4633-8203-A3AB4537B414}" type="presOf" srcId="{3830D530-B807-4E12-8005-8D73925574FC}" destId="{6AC8738B-E57D-49B9-A184-8CA9A4FA1296}" srcOrd="0" destOrd="0" presId="urn:microsoft.com/office/officeart/2005/8/layout/orgChart1"/>
    <dgm:cxn modelId="{92F2DEF2-629B-4230-8138-3DEF5A285113}" srcId="{0102E4FE-20A8-44CB-9044-37DB2019EEF7}" destId="{424E63FB-7A5E-47ED-BA8E-381C8BEA7B4D}" srcOrd="5" destOrd="0" parTransId="{EBA54DFC-7FC3-4D85-9BDE-4CD347E65E6C}" sibTransId="{2D9C3D49-28A1-4E2A-8676-8FA2D87A3E83}"/>
    <dgm:cxn modelId="{65E43AF3-D179-485C-9875-A65A828CCE76}" srcId="{0102E4FE-20A8-44CB-9044-37DB2019EEF7}" destId="{95040E2D-3B14-4838-BEEC-F567F54E210A}" srcOrd="7" destOrd="0" parTransId="{05FE1BD5-3C3C-4969-A364-2530D63BDBD5}" sibTransId="{399F0C6F-6EF9-4BBC-8F8C-74F7043B2B33}"/>
    <dgm:cxn modelId="{D3B4CFF5-E51B-49BB-B4A0-38BCCD46F938}" srcId="{4D29C077-1695-455C-9DAA-E15887E6F57B}" destId="{C9D0B5BF-B7C3-4EE0-95D1-49FD73D05D79}" srcOrd="0" destOrd="0" parTransId="{0631D87C-B935-46D4-B8D7-C37BDF8C161E}" sibTransId="{244FB057-52B0-44FB-97CC-1164E148803F}"/>
    <dgm:cxn modelId="{AA07A1F6-0C48-4CB5-B06C-47ECA1DF8F78}" type="presOf" srcId="{E9CCBF3B-F7D4-491B-83ED-166AFDD5DD30}" destId="{58BDADBE-4402-4E6F-AB6F-E215C5F98D3B}" srcOrd="0" destOrd="0" presId="urn:microsoft.com/office/officeart/2005/8/layout/orgChart1"/>
    <dgm:cxn modelId="{31FBFFF6-56FF-4BA3-8B39-CF97012F93CD}" type="presOf" srcId="{ACC47AE5-8F11-4C89-A3BA-0142D6FF2B89}" destId="{5474E46D-E00A-478A-A683-BFD10039FAA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1B0FAAFC-0B26-4035-A897-282E4C1FE3C3}" type="presOf" srcId="{9F399C56-2035-4132-B481-B1BF8BFEC6F6}" destId="{C5B34D5D-43DB-45E5-92C5-34FCE8FD1F7F}" srcOrd="0" destOrd="0" presId="urn:microsoft.com/office/officeart/2005/8/layout/orgChart1"/>
    <dgm:cxn modelId="{A458D9FF-02BE-46BB-A088-C5A5D4DCC19A}" srcId="{0102E4FE-20A8-44CB-9044-37DB2019EEF7}" destId="{8BB75C25-BB24-48E5-95A1-BDDD2AD67385}" srcOrd="4"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5E6863E9-7AAD-4E20-A36E-054DC0AF075E}" type="presParOf" srcId="{09EFDB36-E5B0-4407-8281-5D4F42D16FE0}" destId="{9215BC5C-EF28-46E3-9D29-189760EA6127}" srcOrd="0" destOrd="0" presId="urn:microsoft.com/office/officeart/2005/8/layout/orgChart1"/>
    <dgm:cxn modelId="{03013C04-E7A8-4131-BCC7-6F63DF6A8DDF}" type="presParOf" srcId="{09EFDB36-E5B0-4407-8281-5D4F42D16FE0}" destId="{BD8E765B-1EC6-4940-8B35-44B4ECA8F999}" srcOrd="1" destOrd="0" presId="urn:microsoft.com/office/officeart/2005/8/layout/orgChart1"/>
    <dgm:cxn modelId="{ADD850AA-B784-45DD-9562-F8E2A09D184A}" type="presParOf" srcId="{BD8E765B-1EC6-4940-8B35-44B4ECA8F999}" destId="{5170185D-F74B-4A29-A0AE-A907E148C8B9}" srcOrd="0" destOrd="0" presId="urn:microsoft.com/office/officeart/2005/8/layout/orgChart1"/>
    <dgm:cxn modelId="{30967785-B220-4740-B9C1-E41D17E74087}" type="presParOf" srcId="{5170185D-F74B-4A29-A0AE-A907E148C8B9}" destId="{79BC1533-D80B-400B-9906-B028A22E2881}" srcOrd="0" destOrd="0" presId="urn:microsoft.com/office/officeart/2005/8/layout/orgChart1"/>
    <dgm:cxn modelId="{B06600F6-CEF1-4270-9C44-4F160CBD3970}" type="presParOf" srcId="{5170185D-F74B-4A29-A0AE-A907E148C8B9}" destId="{9FD57774-E8E2-4590-B5BB-19A8C7DAA675}" srcOrd="1" destOrd="0" presId="urn:microsoft.com/office/officeart/2005/8/layout/orgChart1"/>
    <dgm:cxn modelId="{45D48B3E-2BDB-46F6-8124-A9D3371FDDAF}" type="presParOf" srcId="{BD8E765B-1EC6-4940-8B35-44B4ECA8F999}" destId="{4B4D344C-D73D-48D5-80A1-15F038681A17}" srcOrd="1" destOrd="0" presId="urn:microsoft.com/office/officeart/2005/8/layout/orgChart1"/>
    <dgm:cxn modelId="{3B79B7F1-B4A7-4AB3-B976-16CC9AA0B1D2}" type="presParOf" srcId="{BD8E765B-1EC6-4940-8B35-44B4ECA8F999}" destId="{B0D6A3D7-C713-4211-9FB9-876407D906C3}" srcOrd="2" destOrd="0" presId="urn:microsoft.com/office/officeart/2005/8/layout/orgChart1"/>
    <dgm:cxn modelId="{3C498FA5-C61A-41FE-ACA2-07F53F2FB4DA}" type="presParOf" srcId="{09EFDB36-E5B0-4407-8281-5D4F42D16FE0}" destId="{C08BDE50-7763-40E4-9D62-749F9B612003}" srcOrd="2" destOrd="0" presId="urn:microsoft.com/office/officeart/2005/8/layout/orgChart1"/>
    <dgm:cxn modelId="{9DA9FB04-A6C0-45BD-8D34-972760F54C99}" type="presParOf" srcId="{09EFDB36-E5B0-4407-8281-5D4F42D16FE0}" destId="{4D5CE3FB-4C42-4F5E-8945-A2F37E436AD8}" srcOrd="3" destOrd="0" presId="urn:microsoft.com/office/officeart/2005/8/layout/orgChart1"/>
    <dgm:cxn modelId="{4F7D9A65-B7CB-42DE-961D-82EE2E7B86A8}" type="presParOf" srcId="{4D5CE3FB-4C42-4F5E-8945-A2F37E436AD8}" destId="{41C25442-D6C1-489A-85CC-70F368F3FA27}" srcOrd="0" destOrd="0" presId="urn:microsoft.com/office/officeart/2005/8/layout/orgChart1"/>
    <dgm:cxn modelId="{70C48D70-041F-4CC5-8906-DA054E0E1CDB}" type="presParOf" srcId="{41C25442-D6C1-489A-85CC-70F368F3FA27}" destId="{DE9B3B8C-E94A-4323-BD39-0F71D93BF605}" srcOrd="0" destOrd="0" presId="urn:microsoft.com/office/officeart/2005/8/layout/orgChart1"/>
    <dgm:cxn modelId="{4C93FCCF-15DB-494C-8280-9506C4DBED12}" type="presParOf" srcId="{41C25442-D6C1-489A-85CC-70F368F3FA27}" destId="{5AD1D99B-9A1D-4ED1-B429-2592B2280DC8}" srcOrd="1" destOrd="0" presId="urn:microsoft.com/office/officeart/2005/8/layout/orgChart1"/>
    <dgm:cxn modelId="{EDE67856-9C43-416B-978E-54E6E0787BB9}" type="presParOf" srcId="{4D5CE3FB-4C42-4F5E-8945-A2F37E436AD8}" destId="{F29B9D6A-B623-4AE6-9E9D-84CB8686D35A}" srcOrd="1" destOrd="0" presId="urn:microsoft.com/office/officeart/2005/8/layout/orgChart1"/>
    <dgm:cxn modelId="{6DE73AD4-A9BB-4C9F-96DA-A7E1B0BFB78B}" type="presParOf" srcId="{4D5CE3FB-4C42-4F5E-8945-A2F37E436AD8}" destId="{E28AD5BA-AF96-4C1E-A2E7-F8E7C3C2D328}" srcOrd="2" destOrd="0" presId="urn:microsoft.com/office/officeart/2005/8/layout/orgChart1"/>
    <dgm:cxn modelId="{851DB836-8A1B-422D-9A3E-DF85D92FE0E2}" type="presParOf" srcId="{09EFDB36-E5B0-4407-8281-5D4F42D16FE0}" destId="{53EDB683-E294-4AA8-865E-A34149A45E7B}" srcOrd="4" destOrd="0" presId="urn:microsoft.com/office/officeart/2005/8/layout/orgChart1"/>
    <dgm:cxn modelId="{BDFCE821-2D1C-42A3-8944-A1C7E3DACCB5}" type="presParOf" srcId="{09EFDB36-E5B0-4407-8281-5D4F42D16FE0}" destId="{C7A83D5F-ED31-4469-A02B-9E0410B1A012}" srcOrd="5" destOrd="0" presId="urn:microsoft.com/office/officeart/2005/8/layout/orgChart1"/>
    <dgm:cxn modelId="{223CD67F-EED1-4B4C-911A-781ACFE74AEA}" type="presParOf" srcId="{C7A83D5F-ED31-4469-A02B-9E0410B1A012}" destId="{E92F83E4-E47F-479A-A10E-33C92106C350}" srcOrd="0" destOrd="0" presId="urn:microsoft.com/office/officeart/2005/8/layout/orgChart1"/>
    <dgm:cxn modelId="{3AF90EDF-BD73-4A2F-9566-E3D6EC2E686D}" type="presParOf" srcId="{E92F83E4-E47F-479A-A10E-33C92106C350}" destId="{1AC9D135-5D83-4305-8BBE-31B08A84BDBD}" srcOrd="0" destOrd="0" presId="urn:microsoft.com/office/officeart/2005/8/layout/orgChart1"/>
    <dgm:cxn modelId="{1290E20E-C518-4841-A796-F1D6D1464591}" type="presParOf" srcId="{E92F83E4-E47F-479A-A10E-33C92106C350}" destId="{0EEC5D51-CF9D-4411-A473-AB4E3B268702}" srcOrd="1" destOrd="0" presId="urn:microsoft.com/office/officeart/2005/8/layout/orgChart1"/>
    <dgm:cxn modelId="{FD239293-C082-49B5-9422-55F21DA7A1F5}" type="presParOf" srcId="{C7A83D5F-ED31-4469-A02B-9E0410B1A012}" destId="{C04D72D3-B02F-43E0-A872-972839EF5D22}" srcOrd="1" destOrd="0" presId="urn:microsoft.com/office/officeart/2005/8/layout/orgChart1"/>
    <dgm:cxn modelId="{9C2CFDE7-B711-4E0A-B9B3-D7D832053E58}" type="presParOf" srcId="{C7A83D5F-ED31-4469-A02B-9E0410B1A012}" destId="{E28F2781-53DB-4230-B889-40AA2949CF21}" srcOrd="2"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11285118-0131-42ED-AB21-03DD6C3CCF0E}" type="presParOf" srcId="{0945C784-5EB4-4170-B227-C25054AACF2B}" destId="{C283A356-7898-4FFE-8B50-6FA2258CC574}" srcOrd="0" destOrd="0" presId="urn:microsoft.com/office/officeart/2005/8/layout/orgChart1"/>
    <dgm:cxn modelId="{DA637AC3-922D-471B-BAA2-8BB1830D3F56}" type="presParOf" srcId="{0945C784-5EB4-4170-B227-C25054AACF2B}" destId="{76A1305E-87D2-4CA9-A913-B421FF56EC29}" srcOrd="1" destOrd="0" presId="urn:microsoft.com/office/officeart/2005/8/layout/orgChart1"/>
    <dgm:cxn modelId="{FE6F27BD-323E-41E3-968F-0CE7A63D92B0}" type="presParOf" srcId="{76A1305E-87D2-4CA9-A913-B421FF56EC29}" destId="{99F396CA-7760-4D2A-A164-5885FA565091}" srcOrd="0" destOrd="0" presId="urn:microsoft.com/office/officeart/2005/8/layout/orgChart1"/>
    <dgm:cxn modelId="{AB8BFE7A-2259-4194-8D5D-EFCB6605F3C5}" type="presParOf" srcId="{99F396CA-7760-4D2A-A164-5885FA565091}" destId="{C5CAB220-082C-4CFE-A0E8-A1D29E7FD8E3}" srcOrd="0" destOrd="0" presId="urn:microsoft.com/office/officeart/2005/8/layout/orgChart1"/>
    <dgm:cxn modelId="{933E2F33-5D8A-459C-A61D-9D692E39F000}" type="presParOf" srcId="{99F396CA-7760-4D2A-A164-5885FA565091}" destId="{FC73CBC6-1891-4E32-A99F-556859D5F3EA}" srcOrd="1" destOrd="0" presId="urn:microsoft.com/office/officeart/2005/8/layout/orgChart1"/>
    <dgm:cxn modelId="{44ECDE55-1EC3-4F10-A371-E664FE78D702}" type="presParOf" srcId="{76A1305E-87D2-4CA9-A913-B421FF56EC29}" destId="{F3791118-BD58-49A7-A019-0D35CAB824D2}" srcOrd="1" destOrd="0" presId="urn:microsoft.com/office/officeart/2005/8/layout/orgChart1"/>
    <dgm:cxn modelId="{8BC98952-5D30-46C0-A7E4-E1E0A82ED914}" type="presParOf" srcId="{76A1305E-87D2-4CA9-A913-B421FF56EC29}" destId="{96CF1FBD-8421-4744-B2BA-30E2022AD2AD}" srcOrd="2"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3242A316-B307-4FD9-B63E-C76377725C1E}" type="presParOf" srcId="{CFE7259F-6958-4278-B532-D5FC1DF0D989}" destId="{0A19E82D-8E6C-4C7E-B889-87BAFCC766F7}" srcOrd="6" destOrd="0" presId="urn:microsoft.com/office/officeart/2005/8/layout/orgChart1"/>
    <dgm:cxn modelId="{E2352D0D-2A19-4F8C-9BA8-AD639D3BFDD9}" type="presParOf" srcId="{CFE7259F-6958-4278-B532-D5FC1DF0D989}" destId="{D069B9D7-EF0F-44DB-AC23-D24CE297BC8B}" srcOrd="7" destOrd="0" presId="urn:microsoft.com/office/officeart/2005/8/layout/orgChart1"/>
    <dgm:cxn modelId="{F0997890-E251-4D7C-826D-F841DC035A2F}" type="presParOf" srcId="{D069B9D7-EF0F-44DB-AC23-D24CE297BC8B}" destId="{38BC6558-170D-4805-B70E-9B8D480EE5D7}" srcOrd="0" destOrd="0" presId="urn:microsoft.com/office/officeart/2005/8/layout/orgChart1"/>
    <dgm:cxn modelId="{522096B7-0253-407B-92AF-CF1F89697B05}" type="presParOf" srcId="{38BC6558-170D-4805-B70E-9B8D480EE5D7}" destId="{2DFFEEBC-2405-41F6-B859-471D8D802CB3}" srcOrd="0" destOrd="0" presId="urn:microsoft.com/office/officeart/2005/8/layout/orgChart1"/>
    <dgm:cxn modelId="{97596A5D-6D0F-44C6-B1B0-B7C9C348C9BB}" type="presParOf" srcId="{38BC6558-170D-4805-B70E-9B8D480EE5D7}" destId="{95A75FB0-F97E-4AAA-A6BE-816E918F486F}" srcOrd="1" destOrd="0" presId="urn:microsoft.com/office/officeart/2005/8/layout/orgChart1"/>
    <dgm:cxn modelId="{77D37870-B9E8-483D-B169-2EE65D6BF2E1}" type="presParOf" srcId="{D069B9D7-EF0F-44DB-AC23-D24CE297BC8B}" destId="{C2F8E22F-B9E7-4700-904F-9EEA3549146B}" srcOrd="1" destOrd="0" presId="urn:microsoft.com/office/officeart/2005/8/layout/orgChart1"/>
    <dgm:cxn modelId="{C0EE8E98-E467-4A28-9B04-4C44CDDA8046}" type="presParOf" srcId="{C2F8E22F-B9E7-4700-904F-9EEA3549146B}" destId="{9D40F0E8-89BB-4444-B77D-50D149F2D0BD}" srcOrd="0" destOrd="0" presId="urn:microsoft.com/office/officeart/2005/8/layout/orgChart1"/>
    <dgm:cxn modelId="{438B71A0-C386-4419-BD5A-EBBBFD63F45C}" type="presParOf" srcId="{C2F8E22F-B9E7-4700-904F-9EEA3549146B}" destId="{807F2813-9E5F-4BAC-83B1-59B45AE37DD4}" srcOrd="1" destOrd="0" presId="urn:microsoft.com/office/officeart/2005/8/layout/orgChart1"/>
    <dgm:cxn modelId="{81AC0875-29F4-4675-9605-74CC1DF865A3}" type="presParOf" srcId="{807F2813-9E5F-4BAC-83B1-59B45AE37DD4}" destId="{A730FDF6-1F82-4C7D-97A8-1951157308A9}" srcOrd="0" destOrd="0" presId="urn:microsoft.com/office/officeart/2005/8/layout/orgChart1"/>
    <dgm:cxn modelId="{F7190B95-1AFC-41EB-9D3A-EB0AF526BD77}" type="presParOf" srcId="{A730FDF6-1F82-4C7D-97A8-1951157308A9}" destId="{CAB5E8BB-F7BB-4348-AFDC-2A5F7C1BB986}" srcOrd="0" destOrd="0" presId="urn:microsoft.com/office/officeart/2005/8/layout/orgChart1"/>
    <dgm:cxn modelId="{F2C0FD47-C78B-4672-BBB7-B4FD329FE0EE}" type="presParOf" srcId="{A730FDF6-1F82-4C7D-97A8-1951157308A9}" destId="{8B339C35-8607-4FB5-8564-04C3FB199A27}" srcOrd="1" destOrd="0" presId="urn:microsoft.com/office/officeart/2005/8/layout/orgChart1"/>
    <dgm:cxn modelId="{94C4C1B0-1B8A-4A36-B30C-E38DC50167F1}" type="presParOf" srcId="{807F2813-9E5F-4BAC-83B1-59B45AE37DD4}" destId="{A71D661C-FDA7-43ED-8A25-C2A1EC6A7CD3}" srcOrd="1" destOrd="0" presId="urn:microsoft.com/office/officeart/2005/8/layout/orgChart1"/>
    <dgm:cxn modelId="{F51E6D2B-F4FE-44B3-9191-9E436D82D56D}" type="presParOf" srcId="{807F2813-9E5F-4BAC-83B1-59B45AE37DD4}" destId="{F280D73C-CEBE-48A4-B246-B045D05FDE49}" srcOrd="2" destOrd="0" presId="urn:microsoft.com/office/officeart/2005/8/layout/orgChart1"/>
    <dgm:cxn modelId="{B8CBE1F9-4093-4A03-BE23-CB917E4E1D0D}" type="presParOf" srcId="{D069B9D7-EF0F-44DB-AC23-D24CE297BC8B}" destId="{779899BC-7124-4DBD-AEA6-F36DEBD24F24}"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83D2577C-34D7-4B3C-B778-20676AC930D6}" type="presParOf" srcId="{3F86CAF0-921B-456C-9C30-B205CF6EDFAB}" destId="{FF93B8C2-9EF9-40C7-887A-306A3910861C}" srcOrd="0" destOrd="0" presId="urn:microsoft.com/office/officeart/2005/8/layout/orgChart1"/>
    <dgm:cxn modelId="{1E7BB052-B310-4E92-9D9E-939DCF05E89A}" type="presParOf" srcId="{3F86CAF0-921B-456C-9C30-B205CF6EDFAB}" destId="{11B90A30-7E47-404D-B7F0-1F8EFFF85ACF}" srcOrd="1" destOrd="0" presId="urn:microsoft.com/office/officeart/2005/8/layout/orgChart1"/>
    <dgm:cxn modelId="{C090775E-1E1D-44FA-974D-FFA42153F5FC}" type="presParOf" srcId="{11B90A30-7E47-404D-B7F0-1F8EFFF85ACF}" destId="{314CCF29-22FE-4C61-BC5A-B434CF537B1C}" srcOrd="0" destOrd="0" presId="urn:microsoft.com/office/officeart/2005/8/layout/orgChart1"/>
    <dgm:cxn modelId="{7F4EB772-18E2-4BB5-9036-796BA860AFA8}" type="presParOf" srcId="{314CCF29-22FE-4C61-BC5A-B434CF537B1C}" destId="{2215E6B3-FD2D-4FB4-BA09-966BC7F5FF2B}" srcOrd="0" destOrd="0" presId="urn:microsoft.com/office/officeart/2005/8/layout/orgChart1"/>
    <dgm:cxn modelId="{B8459051-CD93-49DE-8248-B3041DFFD363}" type="presParOf" srcId="{314CCF29-22FE-4C61-BC5A-B434CF537B1C}" destId="{077D79AE-0A00-414E-ACC9-3C7F0588F047}" srcOrd="1" destOrd="0" presId="urn:microsoft.com/office/officeart/2005/8/layout/orgChart1"/>
    <dgm:cxn modelId="{27C56626-C060-4E6B-93C5-6900441BC897}" type="presParOf" srcId="{11B90A30-7E47-404D-B7F0-1F8EFFF85ACF}" destId="{04C795AC-FE79-4C2C-A8A3-E22BE89C692B}" srcOrd="1" destOrd="0" presId="urn:microsoft.com/office/officeart/2005/8/layout/orgChart1"/>
    <dgm:cxn modelId="{2470D384-A8C5-4443-A337-54323DF604B1}" type="presParOf" srcId="{11B90A30-7E47-404D-B7F0-1F8EFFF85ACF}" destId="{684AC095-E757-4D1B-A9D1-69E095908047}"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424BDC75-6141-4C9C-B1D2-C7D2CE2A5296}" type="presParOf" srcId="{C4D3DF99-A745-4C02-9204-B9053A10435D}" destId="{AAF5925E-A439-4734-BFA7-0209F1E034E0}" srcOrd="2" destOrd="0" presId="urn:microsoft.com/office/officeart/2005/8/layout/orgChart1"/>
    <dgm:cxn modelId="{459E2EF9-4E4C-4EEA-9C05-326A0835C2FD}" type="presParOf" srcId="{C4D3DF99-A745-4C02-9204-B9053A10435D}" destId="{E4ACDD6B-0637-4F25-B692-478DE4CD1E8A}" srcOrd="3" destOrd="0" presId="urn:microsoft.com/office/officeart/2005/8/layout/orgChart1"/>
    <dgm:cxn modelId="{C49DA0BD-677A-47AE-9C63-893F6E0339F4}" type="presParOf" srcId="{E4ACDD6B-0637-4F25-B692-478DE4CD1E8A}" destId="{D26411F1-3269-4B53-8632-15971C6AADE7}" srcOrd="0" destOrd="0" presId="urn:microsoft.com/office/officeart/2005/8/layout/orgChart1"/>
    <dgm:cxn modelId="{4AF97127-52DC-419C-832E-FF3141A68B9B}" type="presParOf" srcId="{D26411F1-3269-4B53-8632-15971C6AADE7}" destId="{72AC346F-2F4E-444E-8C03-BD2A3B5A48DE}" srcOrd="0" destOrd="0" presId="urn:microsoft.com/office/officeart/2005/8/layout/orgChart1"/>
    <dgm:cxn modelId="{F521D911-ADBF-4BDE-AE0C-2B10A0AE9938}" type="presParOf" srcId="{D26411F1-3269-4B53-8632-15971C6AADE7}" destId="{61BD3AC5-6CF6-4CA9-B7DA-7A4EF7D20243}" srcOrd="1" destOrd="0" presId="urn:microsoft.com/office/officeart/2005/8/layout/orgChart1"/>
    <dgm:cxn modelId="{EACD52F7-554A-4C86-9C58-657FF2A39DBA}" type="presParOf" srcId="{E4ACDD6B-0637-4F25-B692-478DE4CD1E8A}" destId="{417D4C16-6F47-45C2-BFA4-54B9F621B68C}" srcOrd="1" destOrd="0" presId="urn:microsoft.com/office/officeart/2005/8/layout/orgChart1"/>
    <dgm:cxn modelId="{13F7475B-E424-4E47-A963-0A430FEAC0D0}" type="presParOf" srcId="{417D4C16-6F47-45C2-BFA4-54B9F621B68C}" destId="{14E17D48-EDEB-435D-B3C2-B09395E9FEFB}" srcOrd="0" destOrd="0" presId="urn:microsoft.com/office/officeart/2005/8/layout/orgChart1"/>
    <dgm:cxn modelId="{4A73B2D6-A7E5-4A31-8FF1-53CED710F2A9}" type="presParOf" srcId="{417D4C16-6F47-45C2-BFA4-54B9F621B68C}" destId="{3880BEBD-40E5-4157-954B-226ECA0493A0}" srcOrd="1" destOrd="0" presId="urn:microsoft.com/office/officeart/2005/8/layout/orgChart1"/>
    <dgm:cxn modelId="{F7726694-AF39-4CF8-BDA6-6568E65DA62F}" type="presParOf" srcId="{3880BEBD-40E5-4157-954B-226ECA0493A0}" destId="{487FF71C-C0A6-4395-91C5-B60C3140B663}" srcOrd="0" destOrd="0" presId="urn:microsoft.com/office/officeart/2005/8/layout/orgChart1"/>
    <dgm:cxn modelId="{1228E5E9-A27D-4AFA-8E88-C1BE886BA7A3}" type="presParOf" srcId="{487FF71C-C0A6-4395-91C5-B60C3140B663}" destId="{AB59BE87-9633-4FD2-BBA5-1E2B6A37B44D}" srcOrd="0" destOrd="0" presId="urn:microsoft.com/office/officeart/2005/8/layout/orgChart1"/>
    <dgm:cxn modelId="{50E740E8-B64C-4C0F-AE63-B7291C663439}" type="presParOf" srcId="{487FF71C-C0A6-4395-91C5-B60C3140B663}" destId="{BCFCA983-8F8D-40A4-8023-1126C6C7E626}" srcOrd="1" destOrd="0" presId="urn:microsoft.com/office/officeart/2005/8/layout/orgChart1"/>
    <dgm:cxn modelId="{7462A8F8-A792-4636-94E5-535B48652800}" type="presParOf" srcId="{3880BEBD-40E5-4157-954B-226ECA0493A0}" destId="{A8447E1E-6370-4B26-B94A-37909503EEA3}" srcOrd="1" destOrd="0" presId="urn:microsoft.com/office/officeart/2005/8/layout/orgChart1"/>
    <dgm:cxn modelId="{AD8628C8-280B-4D51-9441-0C63A15B2F1D}" type="presParOf" srcId="{3880BEBD-40E5-4157-954B-226ECA0493A0}" destId="{250A183C-708B-4234-BD9A-C48DC763F609}" srcOrd="2" destOrd="0" presId="urn:microsoft.com/office/officeart/2005/8/layout/orgChart1"/>
    <dgm:cxn modelId="{5A32EB4B-6A27-4292-BC47-6FFF52DB8781}" type="presParOf" srcId="{E4ACDD6B-0637-4F25-B692-478DE4CD1E8A}" destId="{A304A998-311C-42E3-BC67-14561F45BC79}" srcOrd="2" destOrd="0" presId="urn:microsoft.com/office/officeart/2005/8/layout/orgChart1"/>
    <dgm:cxn modelId="{DB032A05-196C-4667-A1C7-7EC4F48E4E5A}" type="presParOf" srcId="{C4D3DF99-A745-4C02-9204-B9053A10435D}" destId="{0E4F5CDF-7B06-4007-B10B-B4FD17AF8CF2}" srcOrd="4" destOrd="0" presId="urn:microsoft.com/office/officeart/2005/8/layout/orgChart1"/>
    <dgm:cxn modelId="{61D37F0F-8D5F-41C3-8FFC-090692A66C6C}" type="presParOf" srcId="{C4D3DF99-A745-4C02-9204-B9053A10435D}" destId="{C00D17CC-FAFA-40E8-9D6B-8B1CFC90E8E8}" srcOrd="5" destOrd="0" presId="urn:microsoft.com/office/officeart/2005/8/layout/orgChart1"/>
    <dgm:cxn modelId="{F11DC1ED-8506-4D18-A54B-D0C7B013D21F}" type="presParOf" srcId="{C00D17CC-FAFA-40E8-9D6B-8B1CFC90E8E8}" destId="{12396B42-40DA-4642-AE48-28ABF768D1F2}" srcOrd="0" destOrd="0" presId="urn:microsoft.com/office/officeart/2005/8/layout/orgChart1"/>
    <dgm:cxn modelId="{3F9F99BE-9976-403D-AA02-B3F32396F2DD}" type="presParOf" srcId="{12396B42-40DA-4642-AE48-28ABF768D1F2}" destId="{3E475BB6-47FF-4890-865F-481414FB60B9}" srcOrd="0" destOrd="0" presId="urn:microsoft.com/office/officeart/2005/8/layout/orgChart1"/>
    <dgm:cxn modelId="{12D63DF6-2018-406F-91E9-8CC92235AC78}" type="presParOf" srcId="{12396B42-40DA-4642-AE48-28ABF768D1F2}" destId="{0ED318FC-6595-4111-9A87-606673A01095}" srcOrd="1" destOrd="0" presId="urn:microsoft.com/office/officeart/2005/8/layout/orgChart1"/>
    <dgm:cxn modelId="{B536C181-1C0E-4A6C-97D1-514314B5BD01}" type="presParOf" srcId="{C00D17CC-FAFA-40E8-9D6B-8B1CFC90E8E8}" destId="{66762B96-17A0-4947-9C1C-AC7603FC68F1}" srcOrd="1" destOrd="0" presId="urn:microsoft.com/office/officeart/2005/8/layout/orgChart1"/>
    <dgm:cxn modelId="{F3C5242F-5836-4CFD-817E-B4B3E1921F9C}" type="presParOf" srcId="{66762B96-17A0-4947-9C1C-AC7603FC68F1}" destId="{5C3B02D7-A9B7-4BDF-8897-F12B1B1D6A2C}" srcOrd="0" destOrd="0" presId="urn:microsoft.com/office/officeart/2005/8/layout/orgChart1"/>
    <dgm:cxn modelId="{37D257EF-0C41-471A-A0CE-10DB0AE70AD5}" type="presParOf" srcId="{66762B96-17A0-4947-9C1C-AC7603FC68F1}" destId="{AAABD492-2235-478D-BC85-8ADA8000FE68}" srcOrd="1" destOrd="0" presId="urn:microsoft.com/office/officeart/2005/8/layout/orgChart1"/>
    <dgm:cxn modelId="{A19D8FA2-BA24-41AC-9020-D5467AA8D352}" type="presParOf" srcId="{AAABD492-2235-478D-BC85-8ADA8000FE68}" destId="{CFF86CA9-BDC2-4D82-A177-28ECF97F8835}" srcOrd="0" destOrd="0" presId="urn:microsoft.com/office/officeart/2005/8/layout/orgChart1"/>
    <dgm:cxn modelId="{10497697-7A29-4F68-8F37-BB281F7A1937}" type="presParOf" srcId="{CFF86CA9-BDC2-4D82-A177-28ECF97F8835}" destId="{7FD83118-2C2B-4B0B-808F-38851C921700}" srcOrd="0" destOrd="0" presId="urn:microsoft.com/office/officeart/2005/8/layout/orgChart1"/>
    <dgm:cxn modelId="{F06D6A99-3335-44A8-811B-B84DEF88A683}" type="presParOf" srcId="{CFF86CA9-BDC2-4D82-A177-28ECF97F8835}" destId="{CBB6CFF1-5517-4844-91DD-4DD73660295D}" srcOrd="1" destOrd="0" presId="urn:microsoft.com/office/officeart/2005/8/layout/orgChart1"/>
    <dgm:cxn modelId="{E067954B-3D07-4D00-A0B3-1F5CB0173496}" type="presParOf" srcId="{AAABD492-2235-478D-BC85-8ADA8000FE68}" destId="{42791C86-7F1B-4AC0-9FB4-F3F7CB67915A}" srcOrd="1" destOrd="0" presId="urn:microsoft.com/office/officeart/2005/8/layout/orgChart1"/>
    <dgm:cxn modelId="{03A46FB7-1F4B-4EC8-9E67-40A87C23CABD}" type="presParOf" srcId="{AAABD492-2235-478D-BC85-8ADA8000FE68}" destId="{AD8DAC95-A6C0-485B-8666-022382E13849}" srcOrd="2" destOrd="0" presId="urn:microsoft.com/office/officeart/2005/8/layout/orgChart1"/>
    <dgm:cxn modelId="{B6DD69F6-9C49-4648-A321-8F3CD244F78E}" type="presParOf" srcId="{66762B96-17A0-4947-9C1C-AC7603FC68F1}" destId="{4DC370E8-C554-48DD-9281-CE956BBCACC1}" srcOrd="2" destOrd="0" presId="urn:microsoft.com/office/officeart/2005/8/layout/orgChart1"/>
    <dgm:cxn modelId="{3EF9211C-2471-4638-8A3A-969955B3C151}" type="presParOf" srcId="{66762B96-17A0-4947-9C1C-AC7603FC68F1}" destId="{D295B8A5-105F-419F-B3EF-6265A41883F1}" srcOrd="3" destOrd="0" presId="urn:microsoft.com/office/officeart/2005/8/layout/orgChart1"/>
    <dgm:cxn modelId="{C3C82737-B1CE-4AE1-B673-A38B82510522}" type="presParOf" srcId="{D295B8A5-105F-419F-B3EF-6265A41883F1}" destId="{84E9CDE3-4F8B-4C0D-A8DD-F510BA1B7D60}" srcOrd="0" destOrd="0" presId="urn:microsoft.com/office/officeart/2005/8/layout/orgChart1"/>
    <dgm:cxn modelId="{147DB7A1-6E07-41BB-B581-E6CAB2AEE97D}" type="presParOf" srcId="{84E9CDE3-4F8B-4C0D-A8DD-F510BA1B7D60}" destId="{E941135A-1407-47D1-B469-646C76E82807}" srcOrd="0" destOrd="0" presId="urn:microsoft.com/office/officeart/2005/8/layout/orgChart1"/>
    <dgm:cxn modelId="{A063CAFF-7C8F-46E9-A4E3-E6EE87E1D16E}" type="presParOf" srcId="{84E9CDE3-4F8B-4C0D-A8DD-F510BA1B7D60}" destId="{DBC5985A-85E6-459C-B8CB-6346D2476406}" srcOrd="1" destOrd="0" presId="urn:microsoft.com/office/officeart/2005/8/layout/orgChart1"/>
    <dgm:cxn modelId="{C274D75F-848B-4D03-AFA1-EB739B411DB3}" type="presParOf" srcId="{D295B8A5-105F-419F-B3EF-6265A41883F1}" destId="{B8DCAF70-357C-4FDD-9E7F-5E98F6EB3C93}" srcOrd="1" destOrd="0" presId="urn:microsoft.com/office/officeart/2005/8/layout/orgChart1"/>
    <dgm:cxn modelId="{3689CB41-67BA-4E6C-A1DF-649E0292A4C4}" type="presParOf" srcId="{D295B8A5-105F-419F-B3EF-6265A41883F1}" destId="{DE2E6F66-327B-4C22-988C-FF5A67ED711D}" srcOrd="2" destOrd="0" presId="urn:microsoft.com/office/officeart/2005/8/layout/orgChart1"/>
    <dgm:cxn modelId="{FE37F773-CC34-4442-8102-B0F876A9CF1A}" type="presParOf" srcId="{C00D17CC-FAFA-40E8-9D6B-8B1CFC90E8E8}" destId="{3F045100-1E00-4376-A7D8-5D78FE1A10CA}"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529CF9C9-DA53-4506-815A-3CDCE6070A0C}" type="presParOf" srcId="{6EB25563-D21F-483B-A064-03B79922792B}" destId="{AC56313E-7D1A-40B8-A07E-A43719F70304}" srcOrd="0" destOrd="0" presId="urn:microsoft.com/office/officeart/2005/8/layout/orgChart1"/>
    <dgm:cxn modelId="{9B1B340E-B38A-47E2-8A86-2FDC65D50378}" type="presParOf" srcId="{6EB25563-D21F-483B-A064-03B79922792B}" destId="{E5027FC4-D8CB-49AE-8FE2-C4BF40730425}" srcOrd="1" destOrd="0" presId="urn:microsoft.com/office/officeart/2005/8/layout/orgChart1"/>
    <dgm:cxn modelId="{942F6C3B-830A-45A5-AD68-9B6829D7CDB7}" type="presParOf" srcId="{E5027FC4-D8CB-49AE-8FE2-C4BF40730425}" destId="{451FB81E-7102-41CA-A72C-4C11EB843438}" srcOrd="0" destOrd="0" presId="urn:microsoft.com/office/officeart/2005/8/layout/orgChart1"/>
    <dgm:cxn modelId="{81F89852-5477-46DD-A420-171CD5961A34}" type="presParOf" srcId="{451FB81E-7102-41CA-A72C-4C11EB843438}" destId="{5A797B3D-506B-475C-A5BD-53CB96B71636}" srcOrd="0" destOrd="0" presId="urn:microsoft.com/office/officeart/2005/8/layout/orgChart1"/>
    <dgm:cxn modelId="{00FE9C06-5A31-450E-9A07-0674B0163F4B}" type="presParOf" srcId="{451FB81E-7102-41CA-A72C-4C11EB843438}" destId="{AA88D680-0A07-41F6-8035-4101B25DA7E3}" srcOrd="1" destOrd="0" presId="urn:microsoft.com/office/officeart/2005/8/layout/orgChart1"/>
    <dgm:cxn modelId="{E7737247-2A9C-4DAC-B33B-13D6024B8DB6}" type="presParOf" srcId="{E5027FC4-D8CB-49AE-8FE2-C4BF40730425}" destId="{8FE4B370-D97A-4DC8-9828-C41934910D0E}" srcOrd="1" destOrd="0" presId="urn:microsoft.com/office/officeart/2005/8/layout/orgChart1"/>
    <dgm:cxn modelId="{BABBCA78-3538-4478-AACA-C0896896E4B2}" type="presParOf" srcId="{8FE4B370-D97A-4DC8-9828-C41934910D0E}" destId="{8B358519-0C2C-4464-B502-83D39B61EFE0}" srcOrd="0" destOrd="0" presId="urn:microsoft.com/office/officeart/2005/8/layout/orgChart1"/>
    <dgm:cxn modelId="{7B0187E1-8219-4787-B8FF-1E8E8DD67C8C}" type="presParOf" srcId="{8FE4B370-D97A-4DC8-9828-C41934910D0E}" destId="{BECFCE1F-CC5F-4A21-B02D-A3EE880102D6}" srcOrd="1" destOrd="0" presId="urn:microsoft.com/office/officeart/2005/8/layout/orgChart1"/>
    <dgm:cxn modelId="{63A1BAC8-EDC4-465C-9A82-0A750B40A495}" type="presParOf" srcId="{BECFCE1F-CC5F-4A21-B02D-A3EE880102D6}" destId="{D73A7F28-36A2-4E1A-B554-55D2E3D06764}" srcOrd="0" destOrd="0" presId="urn:microsoft.com/office/officeart/2005/8/layout/orgChart1"/>
    <dgm:cxn modelId="{31816095-BE7B-4D23-886D-813E6C02D72A}" type="presParOf" srcId="{D73A7F28-36A2-4E1A-B554-55D2E3D06764}" destId="{6EEDBC22-0172-4D63-B345-F0F2B1AD6B01}" srcOrd="0" destOrd="0" presId="urn:microsoft.com/office/officeart/2005/8/layout/orgChart1"/>
    <dgm:cxn modelId="{00E7218C-A130-4897-8B46-FD48E05D1870}" type="presParOf" srcId="{D73A7F28-36A2-4E1A-B554-55D2E3D06764}" destId="{A8ED0CE2-514C-4A84-9B15-AF67781518A6}" srcOrd="1" destOrd="0" presId="urn:microsoft.com/office/officeart/2005/8/layout/orgChart1"/>
    <dgm:cxn modelId="{C3FB0363-74F7-4926-A499-86C79CF28AC2}" type="presParOf" srcId="{BECFCE1F-CC5F-4A21-B02D-A3EE880102D6}" destId="{EA085187-54D6-4D11-BC36-0F7CB14726C9}" srcOrd="1" destOrd="0" presId="urn:microsoft.com/office/officeart/2005/8/layout/orgChart1"/>
    <dgm:cxn modelId="{D1E919A6-9165-4D0B-A9BE-E084EABC0D3E}" type="presParOf" srcId="{BECFCE1F-CC5F-4A21-B02D-A3EE880102D6}" destId="{48EA53ED-8418-43ED-AD61-3526A1965A01}" srcOrd="2" destOrd="0" presId="urn:microsoft.com/office/officeart/2005/8/layout/orgChart1"/>
    <dgm:cxn modelId="{E40EB7CC-0A6F-4D62-A2A4-68C663CE9D84}" type="presParOf" srcId="{8FE4B370-D97A-4DC8-9828-C41934910D0E}" destId="{8A89F35E-7F48-4116-9B53-E087577800DA}" srcOrd="2" destOrd="0" presId="urn:microsoft.com/office/officeart/2005/8/layout/orgChart1"/>
    <dgm:cxn modelId="{8EABE5ED-55D2-431B-8CF7-050F0B095661}" type="presParOf" srcId="{8FE4B370-D97A-4DC8-9828-C41934910D0E}" destId="{22C219FA-01DA-45CF-AE93-CDDC057234B5}" srcOrd="3" destOrd="0" presId="urn:microsoft.com/office/officeart/2005/8/layout/orgChart1"/>
    <dgm:cxn modelId="{AFFF6D54-9850-45F7-8F40-EF56C1472661}" type="presParOf" srcId="{22C219FA-01DA-45CF-AE93-CDDC057234B5}" destId="{89579EA1-0BAD-4A49-B0CD-0ED79BF02506}" srcOrd="0" destOrd="0" presId="urn:microsoft.com/office/officeart/2005/8/layout/orgChart1"/>
    <dgm:cxn modelId="{ABE1333D-411F-4B66-A482-28D50F037821}" type="presParOf" srcId="{89579EA1-0BAD-4A49-B0CD-0ED79BF02506}" destId="{B2D1F2E2-96F0-44D8-A8A7-B8DE86A3C79D}" srcOrd="0" destOrd="0" presId="urn:microsoft.com/office/officeart/2005/8/layout/orgChart1"/>
    <dgm:cxn modelId="{71CDCA85-285F-4310-B779-5978459DF68E}" type="presParOf" srcId="{89579EA1-0BAD-4A49-B0CD-0ED79BF02506}" destId="{CC55B12C-5ACE-4C47-8041-FB9582F1320F}" srcOrd="1" destOrd="0" presId="urn:microsoft.com/office/officeart/2005/8/layout/orgChart1"/>
    <dgm:cxn modelId="{CFF9E95A-9F17-43AE-B084-09FA7A238676}" type="presParOf" srcId="{22C219FA-01DA-45CF-AE93-CDDC057234B5}" destId="{5E98AF1A-879E-4467-ABE4-32DFEFE5909F}" srcOrd="1" destOrd="0" presId="urn:microsoft.com/office/officeart/2005/8/layout/orgChart1"/>
    <dgm:cxn modelId="{F914E8DC-8964-4BD4-A48D-24E70174DB56}" type="presParOf" srcId="{22C219FA-01DA-45CF-AE93-CDDC057234B5}" destId="{5C77756B-C77A-4D3D-B695-397894FC6E17}" srcOrd="2" destOrd="0" presId="urn:microsoft.com/office/officeart/2005/8/layout/orgChart1"/>
    <dgm:cxn modelId="{EAA8B2EC-3112-4E79-90A8-67BAA92F7A00}" type="presParOf" srcId="{8FE4B370-D97A-4DC8-9828-C41934910D0E}" destId="{E65ACC12-704A-4DB3-B473-886E758C6012}" srcOrd="4" destOrd="0" presId="urn:microsoft.com/office/officeart/2005/8/layout/orgChart1"/>
    <dgm:cxn modelId="{69F0525B-D1F5-45CC-9CC4-6D3DAA1D29DE}" type="presParOf" srcId="{8FE4B370-D97A-4DC8-9828-C41934910D0E}" destId="{B77D29B4-F58A-44CD-AC82-222550239608}" srcOrd="5" destOrd="0" presId="urn:microsoft.com/office/officeart/2005/8/layout/orgChart1"/>
    <dgm:cxn modelId="{A579D0BF-DFCB-4059-A434-083A0872E507}" type="presParOf" srcId="{B77D29B4-F58A-44CD-AC82-222550239608}" destId="{DEEC189C-4DB9-4FAB-836D-0AAD2A3D3897}" srcOrd="0" destOrd="0" presId="urn:microsoft.com/office/officeart/2005/8/layout/orgChart1"/>
    <dgm:cxn modelId="{84A29541-A996-406A-B84E-5943EA7AF57A}" type="presParOf" srcId="{DEEC189C-4DB9-4FAB-836D-0AAD2A3D3897}" destId="{F15F62B6-22D0-48F7-9F58-1C264B09AC2E}" srcOrd="0" destOrd="0" presId="urn:microsoft.com/office/officeart/2005/8/layout/orgChart1"/>
    <dgm:cxn modelId="{D2EC6537-E34F-4029-8D3E-E5B63D1BFFFE}" type="presParOf" srcId="{DEEC189C-4DB9-4FAB-836D-0AAD2A3D3897}" destId="{E50652A1-B037-4DB8-9053-89B9BD8896DD}" srcOrd="1" destOrd="0" presId="urn:microsoft.com/office/officeart/2005/8/layout/orgChart1"/>
    <dgm:cxn modelId="{0698CE2E-67AC-477B-8C57-5C990B0D8FA4}" type="presParOf" srcId="{B77D29B4-F58A-44CD-AC82-222550239608}" destId="{DBB6488E-37EB-4D25-AB60-07C0FD366E16}" srcOrd="1" destOrd="0" presId="urn:microsoft.com/office/officeart/2005/8/layout/orgChart1"/>
    <dgm:cxn modelId="{4E16FD8A-49B2-4E56-A9DE-7456D5BD013C}" type="presParOf" srcId="{B77D29B4-F58A-44CD-AC82-222550239608}" destId="{25D37BCC-706D-423A-B10B-22CC1A74A53A}" srcOrd="2" destOrd="0" presId="urn:microsoft.com/office/officeart/2005/8/layout/orgChart1"/>
    <dgm:cxn modelId="{B7A5C7CF-48FE-4CB4-92A1-F0920700EBB0}" type="presParOf" srcId="{8FE4B370-D97A-4DC8-9828-C41934910D0E}" destId="{A384F49A-DCE7-4743-AF3D-96EF074C6CEA}" srcOrd="6" destOrd="0" presId="urn:microsoft.com/office/officeart/2005/8/layout/orgChart1"/>
    <dgm:cxn modelId="{705AC8AD-8055-415E-84AF-E498B37D58A1}" type="presParOf" srcId="{8FE4B370-D97A-4DC8-9828-C41934910D0E}" destId="{0CC6144A-70D8-4072-A3E3-1B62E7C6A0E1}" srcOrd="7" destOrd="0" presId="urn:microsoft.com/office/officeart/2005/8/layout/orgChart1"/>
    <dgm:cxn modelId="{B0AF7B45-0772-43A2-9566-89C99DB65CB6}" type="presParOf" srcId="{0CC6144A-70D8-4072-A3E3-1B62E7C6A0E1}" destId="{7AE4FF18-11D3-4559-AA76-1875D05ACD4B}" srcOrd="0" destOrd="0" presId="urn:microsoft.com/office/officeart/2005/8/layout/orgChart1"/>
    <dgm:cxn modelId="{20D7E125-9806-4863-B978-FB92F929ED17}" type="presParOf" srcId="{7AE4FF18-11D3-4559-AA76-1875D05ACD4B}" destId="{D5417EFD-1356-4DC1-914D-15DEA5738108}" srcOrd="0" destOrd="0" presId="urn:microsoft.com/office/officeart/2005/8/layout/orgChart1"/>
    <dgm:cxn modelId="{0AE3E8E1-9B55-4FEF-975A-4A5B4D97F02E}" type="presParOf" srcId="{7AE4FF18-11D3-4559-AA76-1875D05ACD4B}" destId="{5474E46D-E00A-478A-A683-BFD10039FAA7}" srcOrd="1" destOrd="0" presId="urn:microsoft.com/office/officeart/2005/8/layout/orgChart1"/>
    <dgm:cxn modelId="{0A76AE97-4A2B-495C-AB10-154A3360600E}" type="presParOf" srcId="{0CC6144A-70D8-4072-A3E3-1B62E7C6A0E1}" destId="{A0338B63-BCD5-4D3D-9923-6929CED23F26}" srcOrd="1" destOrd="0" presId="urn:microsoft.com/office/officeart/2005/8/layout/orgChart1"/>
    <dgm:cxn modelId="{B3E641C1-9310-40C6-A3F4-888229D3C223}" type="presParOf" srcId="{0CC6144A-70D8-4072-A3E3-1B62E7C6A0E1}" destId="{A80367B4-49F2-48E2-8197-B859A6FF618B}" srcOrd="2" destOrd="0" presId="urn:microsoft.com/office/officeart/2005/8/layout/orgChart1"/>
    <dgm:cxn modelId="{BC42EA64-D6BF-480C-AD01-84654127410D}" type="presParOf" srcId="{E5027FC4-D8CB-49AE-8FE2-C4BF40730425}" destId="{A17F7BA7-4897-40B4-A8B5-D43D1D738389}" srcOrd="2" destOrd="0" presId="urn:microsoft.com/office/officeart/2005/8/layout/orgChart1"/>
    <dgm:cxn modelId="{80523B65-C2AA-4515-8A21-7DDBC2510F4A}" type="presParOf" srcId="{6EB25563-D21F-483B-A064-03B79922792B}" destId="{28D55063-3940-488A-9702-C3D93AC20CE6}" srcOrd="2" destOrd="0" presId="urn:microsoft.com/office/officeart/2005/8/layout/orgChart1"/>
    <dgm:cxn modelId="{53978174-D1A3-431F-895F-1CF901FB003D}" type="presParOf" srcId="{6EB25563-D21F-483B-A064-03B79922792B}" destId="{57110AF5-5D44-4597-B2EE-8FCF5313B90C}" srcOrd="3" destOrd="0" presId="urn:microsoft.com/office/officeart/2005/8/layout/orgChart1"/>
    <dgm:cxn modelId="{D3124BD7-18D0-4671-9D46-E668A579CC97}" type="presParOf" srcId="{57110AF5-5D44-4597-B2EE-8FCF5313B90C}" destId="{6F41F7B6-E19B-4E04-A93C-3B5E568F3EB0}" srcOrd="0" destOrd="0" presId="urn:microsoft.com/office/officeart/2005/8/layout/orgChart1"/>
    <dgm:cxn modelId="{62158770-E429-42AF-9A08-FA9205F00025}" type="presParOf" srcId="{6F41F7B6-E19B-4E04-A93C-3B5E568F3EB0}" destId="{E9ED0A35-CF48-40AC-AEA5-7CC07D1B8C49}" srcOrd="0" destOrd="0" presId="urn:microsoft.com/office/officeart/2005/8/layout/orgChart1"/>
    <dgm:cxn modelId="{E4F7D9EC-C04E-4C52-B359-12B8F5F9C5B2}" type="presParOf" srcId="{6F41F7B6-E19B-4E04-A93C-3B5E568F3EB0}" destId="{3D25A15D-81E3-4A6F-86B6-A1E1B02091DF}" srcOrd="1" destOrd="0" presId="urn:microsoft.com/office/officeart/2005/8/layout/orgChart1"/>
    <dgm:cxn modelId="{85B858B7-C5FC-4689-B90A-B7EBEA9CBDE1}" type="presParOf" srcId="{57110AF5-5D44-4597-B2EE-8FCF5313B90C}" destId="{FC2B08CB-42E8-417E-B68E-9245782402BD}" srcOrd="1" destOrd="0" presId="urn:microsoft.com/office/officeart/2005/8/layout/orgChart1"/>
    <dgm:cxn modelId="{A72E6D91-7B93-42DE-A1DA-BA15F89516F4}" type="presParOf" srcId="{FC2B08CB-42E8-417E-B68E-9245782402BD}" destId="{8BEAF106-541E-4D2A-A1C9-5CB298386A2C}" srcOrd="0" destOrd="0" presId="urn:microsoft.com/office/officeart/2005/8/layout/orgChart1"/>
    <dgm:cxn modelId="{501662A5-4F15-452E-AB19-BAFED79A9B9C}" type="presParOf" srcId="{FC2B08CB-42E8-417E-B68E-9245782402BD}" destId="{1149E221-240F-4B98-AB30-7BB9E031CE0B}" srcOrd="1" destOrd="0" presId="urn:microsoft.com/office/officeart/2005/8/layout/orgChart1"/>
    <dgm:cxn modelId="{632B3C85-788E-4D57-91D5-8CDE0F806600}" type="presParOf" srcId="{1149E221-240F-4B98-AB30-7BB9E031CE0B}" destId="{CF5D48C4-1F88-4F18-97CF-026F2F565CAC}" srcOrd="0" destOrd="0" presId="urn:microsoft.com/office/officeart/2005/8/layout/orgChart1"/>
    <dgm:cxn modelId="{5538BD46-8F03-421A-A37B-B21053A5E231}" type="presParOf" srcId="{CF5D48C4-1F88-4F18-97CF-026F2F565CAC}" destId="{E40FCE65-D2BB-409C-BE43-09744F70A1CA}" srcOrd="0" destOrd="0" presId="urn:microsoft.com/office/officeart/2005/8/layout/orgChart1"/>
    <dgm:cxn modelId="{2F3712A0-B236-4B60-A028-174BE07EDDBD}" type="presParOf" srcId="{CF5D48C4-1F88-4F18-97CF-026F2F565CAC}" destId="{86A68EE7-45BA-45A8-848B-343E39FFFE28}" srcOrd="1" destOrd="0" presId="urn:microsoft.com/office/officeart/2005/8/layout/orgChart1"/>
    <dgm:cxn modelId="{561A9E88-6F90-4131-BA0D-29659178174A}" type="presParOf" srcId="{1149E221-240F-4B98-AB30-7BB9E031CE0B}" destId="{558FF7F2-2936-4874-A756-C91952772AF7}" srcOrd="1" destOrd="0" presId="urn:microsoft.com/office/officeart/2005/8/layout/orgChart1"/>
    <dgm:cxn modelId="{E4086BCD-8FDF-42AE-9FDB-4DF382DABFBD}" type="presParOf" srcId="{1149E221-240F-4B98-AB30-7BB9E031CE0B}" destId="{FFB5AF99-DFC2-4B9D-A9D8-D8D242795FBA}" srcOrd="2" destOrd="0" presId="urn:microsoft.com/office/officeart/2005/8/layout/orgChart1"/>
    <dgm:cxn modelId="{AB761981-BA08-4B54-8BDA-E2A2FDFAB59F}" type="presParOf" srcId="{FC2B08CB-42E8-417E-B68E-9245782402BD}" destId="{150C3395-4105-4B1C-8F76-B7ECA78B96FF}" srcOrd="2" destOrd="0" presId="urn:microsoft.com/office/officeart/2005/8/layout/orgChart1"/>
    <dgm:cxn modelId="{D09F20AC-6F06-43E7-908C-4D8713D1FDE6}" type="presParOf" srcId="{FC2B08CB-42E8-417E-B68E-9245782402BD}" destId="{1EF7C8B3-191A-4614-9ED3-50BF117BE4AA}" srcOrd="3" destOrd="0" presId="urn:microsoft.com/office/officeart/2005/8/layout/orgChart1"/>
    <dgm:cxn modelId="{A27DF56F-7ABB-4312-A782-D3D5E35005E3}" type="presParOf" srcId="{1EF7C8B3-191A-4614-9ED3-50BF117BE4AA}" destId="{D0BF1B72-93FE-43C3-870E-8F4C27209DCE}" srcOrd="0" destOrd="0" presId="urn:microsoft.com/office/officeart/2005/8/layout/orgChart1"/>
    <dgm:cxn modelId="{9B56B0AA-5296-4155-8A65-E6429C8DBB6D}" type="presParOf" srcId="{D0BF1B72-93FE-43C3-870E-8F4C27209DCE}" destId="{FF4A6981-C3D6-43AD-95FE-CA13BFFA25FC}" srcOrd="0" destOrd="0" presId="urn:microsoft.com/office/officeart/2005/8/layout/orgChart1"/>
    <dgm:cxn modelId="{73277243-EFB0-4A4D-A1B7-083A68623225}" type="presParOf" srcId="{D0BF1B72-93FE-43C3-870E-8F4C27209DCE}" destId="{EA703137-E13C-4E1B-8E19-459F32216575}" srcOrd="1" destOrd="0" presId="urn:microsoft.com/office/officeart/2005/8/layout/orgChart1"/>
    <dgm:cxn modelId="{D7D8D18D-E388-4D87-851C-FC114A736F6E}" type="presParOf" srcId="{1EF7C8B3-191A-4614-9ED3-50BF117BE4AA}" destId="{4DADA080-EA4F-4AC4-AF9A-029A97BE6622}" srcOrd="1" destOrd="0" presId="urn:microsoft.com/office/officeart/2005/8/layout/orgChart1"/>
    <dgm:cxn modelId="{0329A3B3-960F-40A7-B1D3-B07D9D6736E1}" type="presParOf" srcId="{1EF7C8B3-191A-4614-9ED3-50BF117BE4AA}" destId="{93950E22-A835-4A89-B8E0-CC90D8978458}" srcOrd="2" destOrd="0" presId="urn:microsoft.com/office/officeart/2005/8/layout/orgChart1"/>
    <dgm:cxn modelId="{A1654CA3-D228-45A5-8E70-6A4C11E19F27}" type="presParOf" srcId="{FC2B08CB-42E8-417E-B68E-9245782402BD}" destId="{DC4DEE6B-4DD3-4A5B-B920-F9FABD7DEA4B}" srcOrd="4" destOrd="0" presId="urn:microsoft.com/office/officeart/2005/8/layout/orgChart1"/>
    <dgm:cxn modelId="{D8F9F2F0-2F56-4999-A4B0-4293D988EECB}" type="presParOf" srcId="{FC2B08CB-42E8-417E-B68E-9245782402BD}" destId="{248BACA0-271B-42CA-97CA-1064832F6FE2}" srcOrd="5" destOrd="0" presId="urn:microsoft.com/office/officeart/2005/8/layout/orgChart1"/>
    <dgm:cxn modelId="{19653644-BB7E-4D7C-8A20-DE793456175C}" type="presParOf" srcId="{248BACA0-271B-42CA-97CA-1064832F6FE2}" destId="{77746C42-4EE1-4FE1-8EDE-E156441528B7}" srcOrd="0" destOrd="0" presId="urn:microsoft.com/office/officeart/2005/8/layout/orgChart1"/>
    <dgm:cxn modelId="{158AF689-CDD4-404D-B236-1F27565C3D38}" type="presParOf" srcId="{77746C42-4EE1-4FE1-8EDE-E156441528B7}" destId="{C5B34D5D-43DB-45E5-92C5-34FCE8FD1F7F}" srcOrd="0" destOrd="0" presId="urn:microsoft.com/office/officeart/2005/8/layout/orgChart1"/>
    <dgm:cxn modelId="{160A7E9E-F634-4497-80D2-1C768F781F00}" type="presParOf" srcId="{77746C42-4EE1-4FE1-8EDE-E156441528B7}" destId="{87CC8DE3-7597-49C2-9FD8-4013226BDCD9}" srcOrd="1" destOrd="0" presId="urn:microsoft.com/office/officeart/2005/8/layout/orgChart1"/>
    <dgm:cxn modelId="{C13A980F-2DC4-4746-934C-988FD39868DF}" type="presParOf" srcId="{248BACA0-271B-42CA-97CA-1064832F6FE2}" destId="{6247CB4A-8DED-4A78-A98F-B3254B6E8B4F}" srcOrd="1" destOrd="0" presId="urn:microsoft.com/office/officeart/2005/8/layout/orgChart1"/>
    <dgm:cxn modelId="{6A5F8F51-7ACD-445C-B40B-D92AA9254BC0}" type="presParOf" srcId="{248BACA0-271B-42CA-97CA-1064832F6FE2}" destId="{1BA56298-6919-419F-9B02-E43CF88A4671}" srcOrd="2" destOrd="0" presId="urn:microsoft.com/office/officeart/2005/8/layout/orgChart1"/>
    <dgm:cxn modelId="{58A5BE90-53BD-40A4-8B09-BB02DF0BCCF0}" type="presParOf" srcId="{FC2B08CB-42E8-417E-B68E-9245782402BD}" destId="{194AA57E-0A57-4261-83D4-E8E121F7E638}" srcOrd="6" destOrd="0" presId="urn:microsoft.com/office/officeart/2005/8/layout/orgChart1"/>
    <dgm:cxn modelId="{2F03365D-5C28-4A48-B981-D518F72F4C41}" type="presParOf" srcId="{FC2B08CB-42E8-417E-B68E-9245782402BD}" destId="{91F0E4C9-7300-4E90-AD17-DA22E1FCA94A}" srcOrd="7" destOrd="0" presId="urn:microsoft.com/office/officeart/2005/8/layout/orgChart1"/>
    <dgm:cxn modelId="{035AB9CF-E64B-4043-9F0D-152D5D3185CC}" type="presParOf" srcId="{91F0E4C9-7300-4E90-AD17-DA22E1FCA94A}" destId="{1E62FE38-6157-44BA-8C4C-7BA2356D2348}" srcOrd="0" destOrd="0" presId="urn:microsoft.com/office/officeart/2005/8/layout/orgChart1"/>
    <dgm:cxn modelId="{C97E0718-657B-4192-90F1-14ECBE1652CC}" type="presParOf" srcId="{1E62FE38-6157-44BA-8C4C-7BA2356D2348}" destId="{9914FC13-98B1-4335-96F8-D75C198BD29D}" srcOrd="0" destOrd="0" presId="urn:microsoft.com/office/officeart/2005/8/layout/orgChart1"/>
    <dgm:cxn modelId="{1C4E7380-732E-4172-9BA1-9C4F4A09CEAD}" type="presParOf" srcId="{1E62FE38-6157-44BA-8C4C-7BA2356D2348}" destId="{259D6A3B-27FF-4011-AB5E-DB7B40D1F2E5}" srcOrd="1" destOrd="0" presId="urn:microsoft.com/office/officeart/2005/8/layout/orgChart1"/>
    <dgm:cxn modelId="{DFCDAF1B-1D74-4A4C-95D7-B23693D5C290}" type="presParOf" srcId="{91F0E4C9-7300-4E90-AD17-DA22E1FCA94A}" destId="{29F01FFD-8125-4097-A417-8B15E814A33A}" srcOrd="1" destOrd="0" presId="urn:microsoft.com/office/officeart/2005/8/layout/orgChart1"/>
    <dgm:cxn modelId="{93E0BF6A-FBD0-47CA-A030-C6809029D495}" type="presParOf" srcId="{91F0E4C9-7300-4E90-AD17-DA22E1FCA94A}" destId="{B735D63E-DB4D-4818-B98C-FD6DE61B6A27}" srcOrd="2" destOrd="0" presId="urn:microsoft.com/office/officeart/2005/8/layout/orgChart1"/>
    <dgm:cxn modelId="{209F090B-4B07-4148-949C-06394C47A815}" type="presParOf" srcId="{57110AF5-5D44-4597-B2EE-8FCF5313B90C}" destId="{CE253981-69AD-4593-80B8-BC3EA0D69DEE}" srcOrd="2" destOrd="0" presId="urn:microsoft.com/office/officeart/2005/8/layout/orgChart1"/>
    <dgm:cxn modelId="{4657F88A-95E9-4EA9-9B3B-BFA6166BD236}" type="presParOf" srcId="{6EB25563-D21F-483B-A064-03B79922792B}" destId="{ECA5FDC4-14A3-4529-AA0E-9A25620DF249}" srcOrd="4" destOrd="0" presId="urn:microsoft.com/office/officeart/2005/8/layout/orgChart1"/>
    <dgm:cxn modelId="{E39A248E-B467-4EB4-ACA2-DF2EBDCD1BE5}" type="presParOf" srcId="{6EB25563-D21F-483B-A064-03B79922792B}" destId="{72A884B9-8178-4FAE-8962-B59FF0A5AA0B}" srcOrd="5" destOrd="0" presId="urn:microsoft.com/office/officeart/2005/8/layout/orgChart1"/>
    <dgm:cxn modelId="{093B960E-AEA6-49C1-8621-6BC38D0F8BA3}" type="presParOf" srcId="{72A884B9-8178-4FAE-8962-B59FF0A5AA0B}" destId="{1D8DA4B0-8B4F-4951-BD28-604A699B552E}" srcOrd="0" destOrd="0" presId="urn:microsoft.com/office/officeart/2005/8/layout/orgChart1"/>
    <dgm:cxn modelId="{360D7C18-E5F7-4647-B202-C0BBD968EFD2}" type="presParOf" srcId="{1D8DA4B0-8B4F-4951-BD28-604A699B552E}" destId="{C9AE5414-0CA3-433A-B2DC-C8106DB10739}" srcOrd="0" destOrd="0" presId="urn:microsoft.com/office/officeart/2005/8/layout/orgChart1"/>
    <dgm:cxn modelId="{26C67109-F712-4AF2-A2B8-0C4F74EE6F01}" type="presParOf" srcId="{1D8DA4B0-8B4F-4951-BD28-604A699B552E}" destId="{6B3B56DD-FA59-4A7E-B135-B1FED540C01D}" srcOrd="1" destOrd="0" presId="urn:microsoft.com/office/officeart/2005/8/layout/orgChart1"/>
    <dgm:cxn modelId="{C1A98A54-2638-4113-BE91-E433E0217867}" type="presParOf" srcId="{72A884B9-8178-4FAE-8962-B59FF0A5AA0B}" destId="{1E0E08C5-2945-4C99-804D-F1317323B277}" srcOrd="1" destOrd="0" presId="urn:microsoft.com/office/officeart/2005/8/layout/orgChart1"/>
    <dgm:cxn modelId="{7A0379DF-7D67-4D7D-8C71-DF37D4A33E3F}" type="presParOf" srcId="{1E0E08C5-2945-4C99-804D-F1317323B277}" destId="{BC1464FB-78A0-4E42-BDDA-BF5121921D5B}" srcOrd="0" destOrd="0" presId="urn:microsoft.com/office/officeart/2005/8/layout/orgChart1"/>
    <dgm:cxn modelId="{514A2B16-FAF3-4760-940D-172D041A7348}" type="presParOf" srcId="{1E0E08C5-2945-4C99-804D-F1317323B277}" destId="{10787D9B-D41D-4C8C-918D-FD99AD1BB4E0}" srcOrd="1" destOrd="0" presId="urn:microsoft.com/office/officeart/2005/8/layout/orgChart1"/>
    <dgm:cxn modelId="{DC116D93-7045-4886-AA9F-7735EB6140C3}" type="presParOf" srcId="{10787D9B-D41D-4C8C-918D-FD99AD1BB4E0}" destId="{55D39B97-9550-49B2-80A3-3F214B80080F}" srcOrd="0" destOrd="0" presId="urn:microsoft.com/office/officeart/2005/8/layout/orgChart1"/>
    <dgm:cxn modelId="{43EDC41C-3CF1-42FB-B154-569485E96DA2}" type="presParOf" srcId="{55D39B97-9550-49B2-80A3-3F214B80080F}" destId="{8CC792A2-A4B3-4272-8DBB-0D26D7D4FAC3}" srcOrd="0" destOrd="0" presId="urn:microsoft.com/office/officeart/2005/8/layout/orgChart1"/>
    <dgm:cxn modelId="{0A5ECDD5-60B4-4A0D-B51A-AB44F5EAB469}" type="presParOf" srcId="{55D39B97-9550-49B2-80A3-3F214B80080F}" destId="{FFDAD895-FE50-481C-A60C-108A4321E094}" srcOrd="1" destOrd="0" presId="urn:microsoft.com/office/officeart/2005/8/layout/orgChart1"/>
    <dgm:cxn modelId="{DD8B5027-EE69-42D7-8AED-1171F14330A3}" type="presParOf" srcId="{10787D9B-D41D-4C8C-918D-FD99AD1BB4E0}" destId="{1D1C271B-19A8-440E-ACA1-48012EC65DAC}" srcOrd="1" destOrd="0" presId="urn:microsoft.com/office/officeart/2005/8/layout/orgChart1"/>
    <dgm:cxn modelId="{BFB7CB8E-6BED-4269-80E7-6B953A92EC4D}" type="presParOf" srcId="{10787D9B-D41D-4C8C-918D-FD99AD1BB4E0}" destId="{5FFFC356-2718-43BF-BBED-CA71ED8CF290}" srcOrd="2" destOrd="0" presId="urn:microsoft.com/office/officeart/2005/8/layout/orgChart1"/>
    <dgm:cxn modelId="{F055B50F-80DC-4D61-BB21-96EB58688B5F}" type="presParOf" srcId="{1E0E08C5-2945-4C99-804D-F1317323B277}" destId="{8CFD2EAA-AE75-484A-98F6-2B9A1298C8C0}" srcOrd="2" destOrd="0" presId="urn:microsoft.com/office/officeart/2005/8/layout/orgChart1"/>
    <dgm:cxn modelId="{062705D4-0F49-4AA2-BD6A-B1BFF245A0FE}" type="presParOf" srcId="{1E0E08C5-2945-4C99-804D-F1317323B277}" destId="{D5D42285-A61D-48CB-9EB4-ED242E832222}" srcOrd="3" destOrd="0" presId="urn:microsoft.com/office/officeart/2005/8/layout/orgChart1"/>
    <dgm:cxn modelId="{0339E553-2C67-48BB-A53A-FAD29358918B}" type="presParOf" srcId="{D5D42285-A61D-48CB-9EB4-ED242E832222}" destId="{D6C3F7DC-6A93-4707-9D42-78C987588260}" srcOrd="0" destOrd="0" presId="urn:microsoft.com/office/officeart/2005/8/layout/orgChart1"/>
    <dgm:cxn modelId="{05D6637E-0A35-4173-B062-B5350139FBAE}" type="presParOf" srcId="{D6C3F7DC-6A93-4707-9D42-78C987588260}" destId="{FC353450-B9CF-4B7D-BA30-5C233F217A35}" srcOrd="0" destOrd="0" presId="urn:microsoft.com/office/officeart/2005/8/layout/orgChart1"/>
    <dgm:cxn modelId="{5D0FD071-1DB5-4324-96B7-EAC907C0E548}" type="presParOf" srcId="{D6C3F7DC-6A93-4707-9D42-78C987588260}" destId="{14C1E465-1010-46E0-ADED-DE14D83F30FA}" srcOrd="1" destOrd="0" presId="urn:microsoft.com/office/officeart/2005/8/layout/orgChart1"/>
    <dgm:cxn modelId="{1A2DC824-70E9-4EF3-B44E-5253EDD8DC92}" type="presParOf" srcId="{D5D42285-A61D-48CB-9EB4-ED242E832222}" destId="{81F3D579-F435-4D52-85EA-F9DCA69A8BE9}" srcOrd="1" destOrd="0" presId="urn:microsoft.com/office/officeart/2005/8/layout/orgChart1"/>
    <dgm:cxn modelId="{AF2829BE-6301-47DA-B102-487EA431CE92}" type="presParOf" srcId="{D5D42285-A61D-48CB-9EB4-ED242E832222}" destId="{796DBCB7-CCD5-41A0-8696-08E00F86AA1D}" srcOrd="2" destOrd="0" presId="urn:microsoft.com/office/officeart/2005/8/layout/orgChart1"/>
    <dgm:cxn modelId="{C96FA1E2-6A8E-4F7A-B843-4F0F0EDFCFC9}" type="presParOf" srcId="{1E0E08C5-2945-4C99-804D-F1317323B277}" destId="{ACD67D30-8778-4C1F-8557-06A29D5D73C8}" srcOrd="4" destOrd="0" presId="urn:microsoft.com/office/officeart/2005/8/layout/orgChart1"/>
    <dgm:cxn modelId="{012CBF46-9F86-4E04-9B4B-98054D08FA93}" type="presParOf" srcId="{1E0E08C5-2945-4C99-804D-F1317323B277}" destId="{4BD7EA3A-865C-423A-87D3-6DEAA7ABED17}" srcOrd="5" destOrd="0" presId="urn:microsoft.com/office/officeart/2005/8/layout/orgChart1"/>
    <dgm:cxn modelId="{654FC470-C5D6-40B2-AE78-C2C88E894454}" type="presParOf" srcId="{4BD7EA3A-865C-423A-87D3-6DEAA7ABED17}" destId="{3DFEAAD4-8C74-4312-AC96-FE1012A3AD35}" srcOrd="0" destOrd="0" presId="urn:microsoft.com/office/officeart/2005/8/layout/orgChart1"/>
    <dgm:cxn modelId="{B36363EF-08D7-47E1-B32F-F7961A450EA9}" type="presParOf" srcId="{3DFEAAD4-8C74-4312-AC96-FE1012A3AD35}" destId="{05C53B3B-5032-49C8-9040-4853AED28940}" srcOrd="0" destOrd="0" presId="urn:microsoft.com/office/officeart/2005/8/layout/orgChart1"/>
    <dgm:cxn modelId="{608649F7-C0F3-471B-91CB-2AF67129FC77}" type="presParOf" srcId="{3DFEAAD4-8C74-4312-AC96-FE1012A3AD35}" destId="{EEEA47F1-B788-48DD-929D-5C8B188CE6CF}" srcOrd="1" destOrd="0" presId="urn:microsoft.com/office/officeart/2005/8/layout/orgChart1"/>
    <dgm:cxn modelId="{A1CE1C29-1443-4493-864D-6EE35AAACDED}" type="presParOf" srcId="{4BD7EA3A-865C-423A-87D3-6DEAA7ABED17}" destId="{BDAFE0D3-ABE2-44E3-85E6-9FB763841D1F}" srcOrd="1" destOrd="0" presId="urn:microsoft.com/office/officeart/2005/8/layout/orgChart1"/>
    <dgm:cxn modelId="{DBC61CD8-7F00-4CC2-BDBA-7FB90C7E2781}" type="presParOf" srcId="{4BD7EA3A-865C-423A-87D3-6DEAA7ABED17}" destId="{30F07236-4FA1-4D56-9858-99A589DD8E38}" srcOrd="2" destOrd="0" presId="urn:microsoft.com/office/officeart/2005/8/layout/orgChart1"/>
    <dgm:cxn modelId="{02CB35F8-F682-451D-8E5A-F1CC078DADE7}" type="presParOf" srcId="{72A884B9-8178-4FAE-8962-B59FF0A5AA0B}" destId="{07181A27-094A-4F00-B487-00695E3567C9}"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02E0F069-6F94-41DE-82AA-EBE78184B8BB}" type="presParOf" srcId="{7F944FE0-D2A2-405B-BDFF-D1897631706E}" destId="{58BDADBE-4402-4E6F-AB6F-E215C5F98D3B}" srcOrd="6" destOrd="0" presId="urn:microsoft.com/office/officeart/2005/8/layout/orgChart1"/>
    <dgm:cxn modelId="{F0A76E12-6B1D-4B90-B339-3CDBE076D939}" type="presParOf" srcId="{7F944FE0-D2A2-405B-BDFF-D1897631706E}" destId="{CAC55414-926B-4025-9709-C51A1C0F1BA3}" srcOrd="7"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D5C2F449-A7D3-4416-9AA3-DE0773982EE5}" type="presParOf" srcId="{30CBF445-3176-4871-AE74-8842DAE8EA77}" destId="{D3DEE367-2894-4921-A66A-A9037DBF2BEA}" srcOrd="0" destOrd="0" presId="urn:microsoft.com/office/officeart/2005/8/layout/orgChart1"/>
    <dgm:cxn modelId="{502DD28D-9EE2-4EAF-9678-8B54378CBD73}" type="presParOf" srcId="{30CBF445-3176-4871-AE74-8842DAE8EA77}" destId="{DD8DA653-D4FA-48D3-9D8A-591F822FDAF5}" srcOrd="1" destOrd="0" presId="urn:microsoft.com/office/officeart/2005/8/layout/orgChart1"/>
    <dgm:cxn modelId="{E45FB13E-9077-400E-8236-0ADDB914E506}" type="presParOf" srcId="{DD8DA653-D4FA-48D3-9D8A-591F822FDAF5}" destId="{8411E4B5-BB56-421C-8BAA-81DA639280F0}" srcOrd="0" destOrd="0" presId="urn:microsoft.com/office/officeart/2005/8/layout/orgChart1"/>
    <dgm:cxn modelId="{82438F6B-D9BF-4F88-A95E-B95DC1A9185C}" type="presParOf" srcId="{8411E4B5-BB56-421C-8BAA-81DA639280F0}" destId="{101E7089-2CFC-4D90-BD60-75732AD7334A}" srcOrd="0" destOrd="0" presId="urn:microsoft.com/office/officeart/2005/8/layout/orgChart1"/>
    <dgm:cxn modelId="{BAE855CB-C80C-4FCF-B305-462AE32E76B1}" type="presParOf" srcId="{8411E4B5-BB56-421C-8BAA-81DA639280F0}" destId="{6C9E8FBE-15D7-4951-8B5C-D371AC51EA30}" srcOrd="1" destOrd="0" presId="urn:microsoft.com/office/officeart/2005/8/layout/orgChart1"/>
    <dgm:cxn modelId="{D9F9FC3B-C0D9-4BA7-8FD3-50C80BDC3475}" type="presParOf" srcId="{DD8DA653-D4FA-48D3-9D8A-591F822FDAF5}" destId="{E956487F-BC8E-43CD-BFE3-66E0DD765191}" srcOrd="1" destOrd="0" presId="urn:microsoft.com/office/officeart/2005/8/layout/orgChart1"/>
    <dgm:cxn modelId="{4CC40F15-DB40-462E-9869-DE2A40E502E6}" type="presParOf" srcId="{DD8DA653-D4FA-48D3-9D8A-591F822FDAF5}" destId="{959AFBD9-F9FD-417F-84EB-C9B6A8C63B31}"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E47B7A83-2495-4C62-89ED-0E31F6333206}" type="presParOf" srcId="{81979E69-6B05-4EC7-AA2F-C9F76EBB2E89}" destId="{D1EA719A-EBF2-425E-9D29-7CD52B07BC03}" srcOrd="0" destOrd="0" presId="urn:microsoft.com/office/officeart/2005/8/layout/orgChart1"/>
    <dgm:cxn modelId="{D60CDE4C-38CE-4B12-9CDE-796095FFDD45}" type="presParOf" srcId="{81979E69-6B05-4EC7-AA2F-C9F76EBB2E89}" destId="{D0B0E343-BDEC-4AA1-9F3E-BC8D50EB083D}" srcOrd="1" destOrd="0" presId="urn:microsoft.com/office/officeart/2005/8/layout/orgChart1"/>
    <dgm:cxn modelId="{150C6CFC-DCD6-4139-B037-3A4382F25BEF}" type="presParOf" srcId="{D0B0E343-BDEC-4AA1-9F3E-BC8D50EB083D}" destId="{837CBF81-42C2-4C68-8341-67EAB70A57E2}" srcOrd="0" destOrd="0" presId="urn:microsoft.com/office/officeart/2005/8/layout/orgChart1"/>
    <dgm:cxn modelId="{147BA8C1-4783-4033-8E06-3AB317AC03FC}" type="presParOf" srcId="{837CBF81-42C2-4C68-8341-67EAB70A57E2}" destId="{A4D5862A-33B6-4E40-9661-9A38D1C236D5}" srcOrd="0" destOrd="0" presId="urn:microsoft.com/office/officeart/2005/8/layout/orgChart1"/>
    <dgm:cxn modelId="{028184E8-7B42-4CBD-AA12-F4496D075596}" type="presParOf" srcId="{837CBF81-42C2-4C68-8341-67EAB70A57E2}" destId="{8A789041-0E66-4025-B9A7-E50454F73504}" srcOrd="1" destOrd="0" presId="urn:microsoft.com/office/officeart/2005/8/layout/orgChart1"/>
    <dgm:cxn modelId="{93B6CC25-CDC4-4F6D-97F0-2DDD046DF846}" type="presParOf" srcId="{D0B0E343-BDEC-4AA1-9F3E-BC8D50EB083D}" destId="{53E165FB-F642-4519-895A-AC3D0CC20B0B}" srcOrd="1" destOrd="0" presId="urn:microsoft.com/office/officeart/2005/8/layout/orgChart1"/>
    <dgm:cxn modelId="{8DFEAB23-4F61-402E-8456-6D72B5A1043B}" type="presParOf" srcId="{D0B0E343-BDEC-4AA1-9F3E-BC8D50EB083D}" destId="{15662133-3B29-4D82-BCFB-55D0DBD4FDB9}" srcOrd="2"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B823511D-EF90-48CF-9513-E3B459706AA0}" type="presParOf" srcId="{30CBF445-3176-4871-AE74-8842DAE8EA77}" destId="{26CD7BA9-1BDB-44FE-ACF3-BD373E904C1D}" srcOrd="4" destOrd="0" presId="urn:microsoft.com/office/officeart/2005/8/layout/orgChart1"/>
    <dgm:cxn modelId="{A75CCB10-23A0-41A9-B1EC-1BD67F8F0566}" type="presParOf" srcId="{30CBF445-3176-4871-AE74-8842DAE8EA77}" destId="{AF79C796-C727-4AEB-BB53-3EE75D04DA20}" srcOrd="5" destOrd="0" presId="urn:microsoft.com/office/officeart/2005/8/layout/orgChart1"/>
    <dgm:cxn modelId="{58C99F1A-C3FC-46E7-A4D9-A09485936FC4}" type="presParOf" srcId="{AF79C796-C727-4AEB-BB53-3EE75D04DA20}" destId="{71918098-BE45-43DB-9DF7-1301596BC8E5}" srcOrd="0" destOrd="0" presId="urn:microsoft.com/office/officeart/2005/8/layout/orgChart1"/>
    <dgm:cxn modelId="{7720F531-6F3E-4C2C-A4D7-475EC30E1A55}" type="presParOf" srcId="{71918098-BE45-43DB-9DF7-1301596BC8E5}" destId="{309445BE-4DB4-477B-A761-9CCADF42348C}" srcOrd="0" destOrd="0" presId="urn:microsoft.com/office/officeart/2005/8/layout/orgChart1"/>
    <dgm:cxn modelId="{B053B4D6-15C1-48FC-8C40-95AC1A689CB8}" type="presParOf" srcId="{71918098-BE45-43DB-9DF7-1301596BC8E5}" destId="{81CB6F50-739A-4556-8527-16F152648CEE}" srcOrd="1" destOrd="0" presId="urn:microsoft.com/office/officeart/2005/8/layout/orgChart1"/>
    <dgm:cxn modelId="{29D71390-E91C-48CE-9BD9-7F68E88C8B9A}" type="presParOf" srcId="{AF79C796-C727-4AEB-BB53-3EE75D04DA20}" destId="{D499F5F0-9B54-4E21-A44B-77AE01D01301}" srcOrd="1" destOrd="0" presId="urn:microsoft.com/office/officeart/2005/8/layout/orgChart1"/>
    <dgm:cxn modelId="{60E00597-DE9D-441A-8B7B-36846457A54F}" type="presParOf" srcId="{D499F5F0-9B54-4E21-A44B-77AE01D01301}" destId="{917B5A17-DEC1-4D68-BD57-872653DA8903}" srcOrd="0" destOrd="0" presId="urn:microsoft.com/office/officeart/2005/8/layout/orgChart1"/>
    <dgm:cxn modelId="{989841C4-4E4C-428C-8A4A-6E658F634AD1}" type="presParOf" srcId="{D499F5F0-9B54-4E21-A44B-77AE01D01301}" destId="{D6304FB4-9ECC-4F15-9BBE-E411F03FDE31}" srcOrd="1" destOrd="0" presId="urn:microsoft.com/office/officeart/2005/8/layout/orgChart1"/>
    <dgm:cxn modelId="{B8E486B2-C7DE-4919-B244-30BE0A31B156}" type="presParOf" srcId="{D6304FB4-9ECC-4F15-9BBE-E411F03FDE31}" destId="{51319291-6928-453B-ADEC-BE963314F5FC}" srcOrd="0" destOrd="0" presId="urn:microsoft.com/office/officeart/2005/8/layout/orgChart1"/>
    <dgm:cxn modelId="{A2AFDE1D-9714-4012-BC4C-73DE7ECE437C}" type="presParOf" srcId="{51319291-6928-453B-ADEC-BE963314F5FC}" destId="{FBFB7893-C4BF-4C23-A1C7-990539E4794F}" srcOrd="0" destOrd="0" presId="urn:microsoft.com/office/officeart/2005/8/layout/orgChart1"/>
    <dgm:cxn modelId="{DBDA2BCF-C2C5-4ABE-B65B-A1707B43D14C}" type="presParOf" srcId="{51319291-6928-453B-ADEC-BE963314F5FC}" destId="{B3A4D494-22BE-4615-990C-52DA630F7049}" srcOrd="1" destOrd="0" presId="urn:microsoft.com/office/officeart/2005/8/layout/orgChart1"/>
    <dgm:cxn modelId="{581CEB2B-B7F0-40C4-990F-EFC7D1EF1123}" type="presParOf" srcId="{D6304FB4-9ECC-4F15-9BBE-E411F03FDE31}" destId="{FBB7785A-065C-4C81-AC12-8205E0E8EFA9}" srcOrd="1" destOrd="0" presId="urn:microsoft.com/office/officeart/2005/8/layout/orgChart1"/>
    <dgm:cxn modelId="{A233721E-38F7-485C-83F7-23F2E7397789}" type="presParOf" srcId="{D6304FB4-9ECC-4F15-9BBE-E411F03FDE31}" destId="{18044D3B-054B-41C9-B67A-CE353A719BAB}" srcOrd="2" destOrd="0" presId="urn:microsoft.com/office/officeart/2005/8/layout/orgChart1"/>
    <dgm:cxn modelId="{5EB12C03-9839-4354-BE4E-62E337C7E644}" type="presParOf" srcId="{AF79C796-C727-4AEB-BB53-3EE75D04DA20}" destId="{C409FCB1-A2AE-4AFD-AF25-651B58CCDA21}" srcOrd="2" destOrd="0" presId="urn:microsoft.com/office/officeart/2005/8/layout/orgChart1"/>
    <dgm:cxn modelId="{C3008319-F5B0-4120-A5AF-420BC62F9346}" type="presParOf" srcId="{30CBF445-3176-4871-AE74-8842DAE8EA77}" destId="{5DA155C8-2302-48A2-B4B2-E75D974C90B8}" srcOrd="6" destOrd="0" presId="urn:microsoft.com/office/officeart/2005/8/layout/orgChart1"/>
    <dgm:cxn modelId="{E002986C-486B-41FD-B2C4-6153345366ED}" type="presParOf" srcId="{30CBF445-3176-4871-AE74-8842DAE8EA77}" destId="{7F18E2ED-EB56-434D-94A4-6A7E09E20F65}" srcOrd="7" destOrd="0" presId="urn:microsoft.com/office/officeart/2005/8/layout/orgChart1"/>
    <dgm:cxn modelId="{B0DE749F-DB28-468A-8125-17A510AC3123}" type="presParOf" srcId="{7F18E2ED-EB56-434D-94A4-6A7E09E20F65}" destId="{38925D82-4451-4C51-BFED-A53EA60E739D}" srcOrd="0" destOrd="0" presId="urn:microsoft.com/office/officeart/2005/8/layout/orgChart1"/>
    <dgm:cxn modelId="{6192E5B3-D8B4-4720-91FA-34A886B2863E}" type="presParOf" srcId="{38925D82-4451-4C51-BFED-A53EA60E739D}" destId="{E3A63C86-20A4-432A-9BD3-977E025AAEB1}" srcOrd="0" destOrd="0" presId="urn:microsoft.com/office/officeart/2005/8/layout/orgChart1"/>
    <dgm:cxn modelId="{1C559FF3-74A1-4F28-97FE-DA3F503A1A17}" type="presParOf" srcId="{38925D82-4451-4C51-BFED-A53EA60E739D}" destId="{DCF64C30-17F6-4543-8704-D4F54A4915B8}" srcOrd="1" destOrd="0" presId="urn:microsoft.com/office/officeart/2005/8/layout/orgChart1"/>
    <dgm:cxn modelId="{4DD18D69-36FF-41E7-B84C-89822A64CB55}" type="presParOf" srcId="{7F18E2ED-EB56-434D-94A4-6A7E09E20F65}" destId="{43633615-51B5-4F43-ACEF-E60294F5F664}" srcOrd="1" destOrd="0" presId="urn:microsoft.com/office/officeart/2005/8/layout/orgChart1"/>
    <dgm:cxn modelId="{6BE3EC3C-0A32-4054-9D46-BEAB970502F5}" type="presParOf" srcId="{43633615-51B5-4F43-ACEF-E60294F5F664}" destId="{B5CD00D6-D626-47D1-AC35-959ABF7D017C}" srcOrd="0" destOrd="0" presId="urn:microsoft.com/office/officeart/2005/8/layout/orgChart1"/>
    <dgm:cxn modelId="{3EA652AF-A9D4-45EB-B866-A4B1B0E63284}" type="presParOf" srcId="{43633615-51B5-4F43-ACEF-E60294F5F664}" destId="{B1D0FC31-E180-4F21-A74B-23C61A5E1598}" srcOrd="1" destOrd="0" presId="urn:microsoft.com/office/officeart/2005/8/layout/orgChart1"/>
    <dgm:cxn modelId="{9A1AD486-D2E9-4235-B7DF-737C53F3BF65}" type="presParOf" srcId="{B1D0FC31-E180-4F21-A74B-23C61A5E1598}" destId="{5FDDDC33-7C2C-42A0-B92E-596E50061C36}" srcOrd="0" destOrd="0" presId="urn:microsoft.com/office/officeart/2005/8/layout/orgChart1"/>
    <dgm:cxn modelId="{C3041344-F8E7-4CC0-8F73-9FA9F90F35BB}" type="presParOf" srcId="{5FDDDC33-7C2C-42A0-B92E-596E50061C36}" destId="{B5EA85A1-AF03-424D-862B-4F7C13829B51}" srcOrd="0" destOrd="0" presId="urn:microsoft.com/office/officeart/2005/8/layout/orgChart1"/>
    <dgm:cxn modelId="{BB84959C-8A07-4327-A2C5-1B15BC8D5CCE}" type="presParOf" srcId="{5FDDDC33-7C2C-42A0-B92E-596E50061C36}" destId="{3E5247BE-5815-4AB6-AAD1-80D3D2D0FC5D}" srcOrd="1" destOrd="0" presId="urn:microsoft.com/office/officeart/2005/8/layout/orgChart1"/>
    <dgm:cxn modelId="{E8EE2B71-A05D-49FC-A9C2-5971AC93A2B3}" type="presParOf" srcId="{B1D0FC31-E180-4F21-A74B-23C61A5E1598}" destId="{18C76298-86F1-4B15-9702-DE3BA6E49313}" srcOrd="1" destOrd="0" presId="urn:microsoft.com/office/officeart/2005/8/layout/orgChart1"/>
    <dgm:cxn modelId="{19C426A1-6DFA-4395-8CF4-20770E0998D9}" type="presParOf" srcId="{B1D0FC31-E180-4F21-A74B-23C61A5E1598}" destId="{7A1058D7-6696-4978-ADA8-726B328B609B}" srcOrd="2" destOrd="0" presId="urn:microsoft.com/office/officeart/2005/8/layout/orgChart1"/>
    <dgm:cxn modelId="{F2959284-04A9-4225-9C31-750490F17EF8}" type="presParOf" srcId="{43633615-51B5-4F43-ACEF-E60294F5F664}" destId="{6A7DD972-E039-4155-952E-92369208ECAC}" srcOrd="2" destOrd="0" presId="urn:microsoft.com/office/officeart/2005/8/layout/orgChart1"/>
    <dgm:cxn modelId="{F4F1FB6E-DC53-4D8A-B4B9-801FCF7D0D6E}" type="presParOf" srcId="{43633615-51B5-4F43-ACEF-E60294F5F664}" destId="{012CB919-FC69-4D05-8B65-439EF2ADD089}" srcOrd="3" destOrd="0" presId="urn:microsoft.com/office/officeart/2005/8/layout/orgChart1"/>
    <dgm:cxn modelId="{76AC6A21-7A37-4E94-9FCD-D204F471EA9C}" type="presParOf" srcId="{012CB919-FC69-4D05-8B65-439EF2ADD089}" destId="{20C7FA30-A4EE-449E-9DF4-8A55756197BF}" srcOrd="0" destOrd="0" presId="urn:microsoft.com/office/officeart/2005/8/layout/orgChart1"/>
    <dgm:cxn modelId="{CFACDC90-A944-49F3-9055-3221C243FAE5}" type="presParOf" srcId="{20C7FA30-A4EE-449E-9DF4-8A55756197BF}" destId="{953DEB0D-6844-4FE8-9CFA-7CC4A83A54C9}" srcOrd="0" destOrd="0" presId="urn:microsoft.com/office/officeart/2005/8/layout/orgChart1"/>
    <dgm:cxn modelId="{F5D3DD10-13F4-4F3E-A0B3-688C90B30ACB}" type="presParOf" srcId="{20C7FA30-A4EE-449E-9DF4-8A55756197BF}" destId="{B77D1EE6-85B4-4C3A-9191-A38967AE2BB9}" srcOrd="1" destOrd="0" presId="urn:microsoft.com/office/officeart/2005/8/layout/orgChart1"/>
    <dgm:cxn modelId="{171334DD-F2D4-4354-AB73-8D37839A0DB5}" type="presParOf" srcId="{012CB919-FC69-4D05-8B65-439EF2ADD089}" destId="{E58512E6-6D39-4B2A-B5EB-09BF70D3014C}" srcOrd="1" destOrd="0" presId="urn:microsoft.com/office/officeart/2005/8/layout/orgChart1"/>
    <dgm:cxn modelId="{40296B4E-E466-4281-9C31-90F16B8BE4E4}" type="presParOf" srcId="{012CB919-FC69-4D05-8B65-439EF2ADD089}" destId="{30484C58-AFC4-48C8-8D56-3357A1155562}" srcOrd="2" destOrd="0" presId="urn:microsoft.com/office/officeart/2005/8/layout/orgChart1"/>
    <dgm:cxn modelId="{EC025C5A-1663-4C9E-B1C6-0BF37CB0BCD7}" type="presParOf" srcId="{7F18E2ED-EB56-434D-94A4-6A7E09E20F65}" destId="{B1B24DF8-7861-46ED-B6D4-54DAD7069E8A}"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8" destOrd="0" presId="urn:microsoft.com/office/officeart/2005/8/layout/orgChart1"/>
    <dgm:cxn modelId="{83469CB4-81DE-430C-B021-14D01E550E04}" type="presParOf" srcId="{7F944FE0-D2A2-405B-BDFF-D1897631706E}" destId="{F9117AA4-539E-4EE3-B164-8174B0B40EC0}" srcOrd="9"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410C005A-ED70-45CE-B42D-ACFD196FC77B}" type="presParOf" srcId="{977D3813-5412-42A7-8B4D-5447A06AC163}" destId="{5DE5ED83-3230-40DE-958C-7CC3FCFF93F8}" srcOrd="2" destOrd="0" presId="urn:microsoft.com/office/officeart/2005/8/layout/orgChart1"/>
    <dgm:cxn modelId="{5200C0E0-22B0-4988-B852-749BD5D15D3B}" type="presParOf" srcId="{977D3813-5412-42A7-8B4D-5447A06AC163}" destId="{057DD862-5C56-46DD-A87F-7FA9B20D9EDD}" srcOrd="3" destOrd="0" presId="urn:microsoft.com/office/officeart/2005/8/layout/orgChart1"/>
    <dgm:cxn modelId="{994707FD-76F0-4E2B-9F41-1701193FC435}" type="presParOf" srcId="{057DD862-5C56-46DD-A87F-7FA9B20D9EDD}" destId="{D804ADB4-FB3B-49AF-A993-E37A7B826B61}" srcOrd="0" destOrd="0" presId="urn:microsoft.com/office/officeart/2005/8/layout/orgChart1"/>
    <dgm:cxn modelId="{CE15FB38-7D74-46C9-821D-AF01A1F19DB8}" type="presParOf" srcId="{D804ADB4-FB3B-49AF-A993-E37A7B826B61}" destId="{05B68185-236D-47CF-8CA2-C40EC5C940CF}" srcOrd="0" destOrd="0" presId="urn:microsoft.com/office/officeart/2005/8/layout/orgChart1"/>
    <dgm:cxn modelId="{43736858-23E7-486B-AE40-26821EC29E58}" type="presParOf" srcId="{D804ADB4-FB3B-49AF-A993-E37A7B826B61}" destId="{1A1B6A07-3BA2-4C91-A77E-7C1B3585B6F3}" srcOrd="1" destOrd="0" presId="urn:microsoft.com/office/officeart/2005/8/layout/orgChart1"/>
    <dgm:cxn modelId="{749D1CE4-969C-44B1-BC7C-DF06D2F6AC65}" type="presParOf" srcId="{057DD862-5C56-46DD-A87F-7FA9B20D9EDD}" destId="{9871BA3F-D6EB-46DF-8DEC-0B696C28399A}" srcOrd="1" destOrd="0" presId="urn:microsoft.com/office/officeart/2005/8/layout/orgChart1"/>
    <dgm:cxn modelId="{B6656A1E-4A6A-4F4F-949A-36DD21E80BC4}" type="presParOf" srcId="{057DD862-5C56-46DD-A87F-7FA9B20D9EDD}" destId="{586FAA6F-5CF0-43D0-B56D-3BB039DE1BC6}"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3D43F0AC-B985-47BE-BCAA-90D258D98835}" type="presParOf" srcId="{977D3813-5412-42A7-8B4D-5447A06AC163}" destId="{AC031FE0-21D7-4C6E-AA66-DDB90A435C1D}" srcOrd="6" destOrd="0" presId="urn:microsoft.com/office/officeart/2005/8/layout/orgChart1"/>
    <dgm:cxn modelId="{A9461E74-E2DE-4C84-B79E-57C9CA9E9C25}" type="presParOf" srcId="{977D3813-5412-42A7-8B4D-5447A06AC163}" destId="{B90E1D8A-D40D-435B-BE37-C92F15E1CBDF}" srcOrd="7" destOrd="0" presId="urn:microsoft.com/office/officeart/2005/8/layout/orgChart1"/>
    <dgm:cxn modelId="{9F1D897C-DEB2-4EC8-9715-3BA17B6475D1}" type="presParOf" srcId="{B90E1D8A-D40D-435B-BE37-C92F15E1CBDF}" destId="{06C05CD6-A478-4F4F-B898-FEF56831988B}" srcOrd="0" destOrd="0" presId="urn:microsoft.com/office/officeart/2005/8/layout/orgChart1"/>
    <dgm:cxn modelId="{81C387FF-A439-4525-8173-109D0C9F8F16}" type="presParOf" srcId="{06C05CD6-A478-4F4F-B898-FEF56831988B}" destId="{96B847E9-F4CD-4024-8601-19585B6BC0D2}" srcOrd="0" destOrd="0" presId="urn:microsoft.com/office/officeart/2005/8/layout/orgChart1"/>
    <dgm:cxn modelId="{44973FBF-958C-4230-BC08-AFF8A56E3AEE}" type="presParOf" srcId="{06C05CD6-A478-4F4F-B898-FEF56831988B}" destId="{952C02DD-C676-48C4-832C-DF3BF32B78FF}" srcOrd="1" destOrd="0" presId="urn:microsoft.com/office/officeart/2005/8/layout/orgChart1"/>
    <dgm:cxn modelId="{49721B14-D81B-41C7-A032-B9376BDE9BB3}" type="presParOf" srcId="{B90E1D8A-D40D-435B-BE37-C92F15E1CBDF}" destId="{BE9B127F-D174-479A-B245-955F267B0AB1}" srcOrd="1" destOrd="0" presId="urn:microsoft.com/office/officeart/2005/8/layout/orgChart1"/>
    <dgm:cxn modelId="{5CCD93E2-6B0D-44D6-B20E-E56C5D1BAACB}" type="presParOf" srcId="{B90E1D8A-D40D-435B-BE37-C92F15E1CBDF}" destId="{ADB844FD-B543-4444-818F-F0999DC68CF3}"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0" destOrd="0" presId="urn:microsoft.com/office/officeart/2005/8/layout/orgChart1"/>
    <dgm:cxn modelId="{DB7CE798-4382-4380-A167-79830B84C402}" type="presParOf" srcId="{7F944FE0-D2A2-405B-BDFF-D1897631706E}" destId="{A7850FBB-26BD-4AD2-A515-BD8832D8474B}" srcOrd="11"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26633BCE-19B1-4945-AB22-79453E1FA32B}" type="presParOf" srcId="{60EE685C-BCD2-4AF8-9900-DC7BE1C8761E}" destId="{BB6E15DD-1265-4A59-8F9D-9210E52478A3}" srcOrd="0" destOrd="0" presId="urn:microsoft.com/office/officeart/2005/8/layout/orgChart1"/>
    <dgm:cxn modelId="{48B93367-E5FC-4DFC-B3B8-84EEBCDD3466}" type="presParOf" srcId="{60EE685C-BCD2-4AF8-9900-DC7BE1C8761E}" destId="{E7808BAD-EF4D-4CAA-B8AA-4346EFD9F13C}" srcOrd="1" destOrd="0" presId="urn:microsoft.com/office/officeart/2005/8/layout/orgChart1"/>
    <dgm:cxn modelId="{7520CECD-A070-4818-8986-DEDA2494ED6B}" type="presParOf" srcId="{E7808BAD-EF4D-4CAA-B8AA-4346EFD9F13C}" destId="{761959A0-2B11-4923-A26A-306CD00504DF}" srcOrd="0" destOrd="0" presId="urn:microsoft.com/office/officeart/2005/8/layout/orgChart1"/>
    <dgm:cxn modelId="{440DFA76-DC7F-4E56-B70E-9F737ED1413B}" type="presParOf" srcId="{761959A0-2B11-4923-A26A-306CD00504DF}" destId="{95AB15AE-8608-4DA9-9783-4C1883CF8B60}" srcOrd="0" destOrd="0" presId="urn:microsoft.com/office/officeart/2005/8/layout/orgChart1"/>
    <dgm:cxn modelId="{E9BB2E11-9DBB-4953-91D7-924129C975BE}" type="presParOf" srcId="{761959A0-2B11-4923-A26A-306CD00504DF}" destId="{689ACB16-34BB-4613-8825-482144470A36}" srcOrd="1" destOrd="0" presId="urn:microsoft.com/office/officeart/2005/8/layout/orgChart1"/>
    <dgm:cxn modelId="{11EF0C0B-1734-45F8-91DE-0546601F9002}" type="presParOf" srcId="{E7808BAD-EF4D-4CAA-B8AA-4346EFD9F13C}" destId="{F2C98CBD-B7A6-43E6-880F-F8B14995568D}" srcOrd="1" destOrd="0" presId="urn:microsoft.com/office/officeart/2005/8/layout/orgChart1"/>
    <dgm:cxn modelId="{461E2483-E84F-4822-8BF1-4F8EB77FD57B}" type="presParOf" srcId="{E7808BAD-EF4D-4CAA-B8AA-4346EFD9F13C}" destId="{B75FF3AE-B7AA-478A-AF57-DADACE81BC28}" srcOrd="2" destOrd="0" presId="urn:microsoft.com/office/officeart/2005/8/layout/orgChart1"/>
    <dgm:cxn modelId="{51594A98-73A5-48D4-A3DB-3716E133483E}" type="presParOf" srcId="{60EE685C-BCD2-4AF8-9900-DC7BE1C8761E}" destId="{FBC26703-2B8E-4667-8D30-6549C1A0661F}" srcOrd="2" destOrd="0" presId="urn:microsoft.com/office/officeart/2005/8/layout/orgChart1"/>
    <dgm:cxn modelId="{29784E1C-B52C-4DD3-9EBF-835908F5F9D7}" type="presParOf" srcId="{60EE685C-BCD2-4AF8-9900-DC7BE1C8761E}" destId="{2BA6EECD-9F52-4F9D-8532-980ADA800E06}" srcOrd="3" destOrd="0" presId="urn:microsoft.com/office/officeart/2005/8/layout/orgChart1"/>
    <dgm:cxn modelId="{3B136D49-125E-4C19-A8CF-4A68E6347493}" type="presParOf" srcId="{2BA6EECD-9F52-4F9D-8532-980ADA800E06}" destId="{8CB9B523-4B5F-465E-A386-64A7BA70FBB9}" srcOrd="0" destOrd="0" presId="urn:microsoft.com/office/officeart/2005/8/layout/orgChart1"/>
    <dgm:cxn modelId="{CEB3AB9A-0055-45F0-99A9-2D531FC922D1}" type="presParOf" srcId="{8CB9B523-4B5F-465E-A386-64A7BA70FBB9}" destId="{2F3B11AF-65A0-4367-BB88-1A7C587F296A}" srcOrd="0" destOrd="0" presId="urn:microsoft.com/office/officeart/2005/8/layout/orgChart1"/>
    <dgm:cxn modelId="{E0ADF1C4-CDDE-4139-8A42-479F7797450B}" type="presParOf" srcId="{8CB9B523-4B5F-465E-A386-64A7BA70FBB9}" destId="{271484D6-34EA-45FB-8FC1-25EA37E45469}" srcOrd="1" destOrd="0" presId="urn:microsoft.com/office/officeart/2005/8/layout/orgChart1"/>
    <dgm:cxn modelId="{795C1321-6C03-4CE0-B10A-B54150400A2D}" type="presParOf" srcId="{2BA6EECD-9F52-4F9D-8532-980ADA800E06}" destId="{EC931EBD-8452-451B-A023-D12F3EC9A23C}" srcOrd="1" destOrd="0" presId="urn:microsoft.com/office/officeart/2005/8/layout/orgChart1"/>
    <dgm:cxn modelId="{4D806C7E-4304-499F-A7FA-A273C82073D5}" type="presParOf" srcId="{2BA6EECD-9F52-4F9D-8532-980ADA800E06}" destId="{696091AB-4165-410A-BBFA-3C91FB18A165}" srcOrd="2" destOrd="0" presId="urn:microsoft.com/office/officeart/2005/8/layout/orgChart1"/>
    <dgm:cxn modelId="{DBFE58EF-3193-43B1-9ECB-19A78486DB48}" type="presParOf" srcId="{60EE685C-BCD2-4AF8-9900-DC7BE1C8761E}" destId="{BF705543-8EE9-4A05-97D7-9198F5ECD503}" srcOrd="4" destOrd="0" presId="urn:microsoft.com/office/officeart/2005/8/layout/orgChart1"/>
    <dgm:cxn modelId="{10A21380-87BD-46DA-AD7F-89307C0BF4E1}" type="presParOf" srcId="{60EE685C-BCD2-4AF8-9900-DC7BE1C8761E}" destId="{61540007-2A93-4400-87B7-15CDF03F7AEA}" srcOrd="5" destOrd="0" presId="urn:microsoft.com/office/officeart/2005/8/layout/orgChart1"/>
    <dgm:cxn modelId="{BF9E1862-8E24-46CF-8102-1DA32DDA07A6}" type="presParOf" srcId="{61540007-2A93-4400-87B7-15CDF03F7AEA}" destId="{96AE8C08-891E-4FA3-B891-510B11046D51}" srcOrd="0" destOrd="0" presId="urn:microsoft.com/office/officeart/2005/8/layout/orgChart1"/>
    <dgm:cxn modelId="{246C906A-E705-46B5-B8ED-95F2E56C6F87}" type="presParOf" srcId="{96AE8C08-891E-4FA3-B891-510B11046D51}" destId="{6A725167-5E4B-4D53-AD0B-C2B31AE53EF1}" srcOrd="0" destOrd="0" presId="urn:microsoft.com/office/officeart/2005/8/layout/orgChart1"/>
    <dgm:cxn modelId="{58EE8863-2133-44C8-86C1-9CBE79BCDC6E}" type="presParOf" srcId="{96AE8C08-891E-4FA3-B891-510B11046D51}" destId="{6FBE3909-B189-466B-9180-56201C4535C9}" srcOrd="1" destOrd="0" presId="urn:microsoft.com/office/officeart/2005/8/layout/orgChart1"/>
    <dgm:cxn modelId="{6C1B15C1-0C28-4147-BBBC-BFCABD35D74F}" type="presParOf" srcId="{61540007-2A93-4400-87B7-15CDF03F7AEA}" destId="{BB6B9D18-D60A-4A2D-A8F6-ABC9BA164C98}" srcOrd="1" destOrd="0" presId="urn:microsoft.com/office/officeart/2005/8/layout/orgChart1"/>
    <dgm:cxn modelId="{4E64BDB8-A392-45A7-968A-0014B2EDD8B9}" type="presParOf" srcId="{61540007-2A93-4400-87B7-15CDF03F7AEA}" destId="{AD7E1F1D-822B-43C4-8383-6E63111B357D}"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2" destOrd="0" presId="urn:microsoft.com/office/officeart/2005/8/layout/orgChart1"/>
    <dgm:cxn modelId="{2F3B5C15-D986-4FF0-879B-869D3C5A681D}" type="presParOf" srcId="{7F944FE0-D2A2-405B-BDFF-D1897631706E}" destId="{1A481C3A-726B-47D4-9D7B-FCF69649D262}" srcOrd="13"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1EC3C98A-DCF7-4DFA-A62B-F1672C5A218A}" type="presParOf" srcId="{A3EF5188-FB3C-4934-BB09-246D4D5078CE}" destId="{6EEB592F-7552-4FFF-A0E9-68D526D5F137}" srcOrd="0" destOrd="0" presId="urn:microsoft.com/office/officeart/2005/8/layout/orgChart1"/>
    <dgm:cxn modelId="{727ADDFE-8781-4EC3-8027-BF685217AD09}" type="presParOf" srcId="{A3EF5188-FB3C-4934-BB09-246D4D5078CE}" destId="{105F11EA-C2E7-4E0D-B6F9-4842CFA1549A}" srcOrd="1" destOrd="0" presId="urn:microsoft.com/office/officeart/2005/8/layout/orgChart1"/>
    <dgm:cxn modelId="{C4C09003-EB9B-406A-9333-F0C3CFBBB5C6}" type="presParOf" srcId="{105F11EA-C2E7-4E0D-B6F9-4842CFA1549A}" destId="{5869058F-9501-470F-84CB-B70A26F114CE}" srcOrd="0" destOrd="0" presId="urn:microsoft.com/office/officeart/2005/8/layout/orgChart1"/>
    <dgm:cxn modelId="{49B0FF17-099C-4F89-BB99-2BE820FC31EF}" type="presParOf" srcId="{5869058F-9501-470F-84CB-B70A26F114CE}" destId="{9563F0A0-D35D-4845-9E8F-55A791EA7313}" srcOrd="0" destOrd="0" presId="urn:microsoft.com/office/officeart/2005/8/layout/orgChart1"/>
    <dgm:cxn modelId="{955BFECB-318E-4F35-AE23-C0C8B93CEEF0}" type="presParOf" srcId="{5869058F-9501-470F-84CB-B70A26F114CE}" destId="{93482438-9C07-44F2-9620-7CE0EB4C402D}" srcOrd="1" destOrd="0" presId="urn:microsoft.com/office/officeart/2005/8/layout/orgChart1"/>
    <dgm:cxn modelId="{D53FB2E7-254B-478D-94C3-4874FCEFFB63}" type="presParOf" srcId="{105F11EA-C2E7-4E0D-B6F9-4842CFA1549A}" destId="{A77B589A-0838-4F12-B001-CE3786308AD9}" srcOrd="1" destOrd="0" presId="urn:microsoft.com/office/officeart/2005/8/layout/orgChart1"/>
    <dgm:cxn modelId="{B720F399-C2D5-436E-9790-3B4601CF18FD}" type="presParOf" srcId="{105F11EA-C2E7-4E0D-B6F9-4842CFA1549A}" destId="{596606C3-4D65-4B10-AD58-43A28570F882}" srcOrd="2" destOrd="0" presId="urn:microsoft.com/office/officeart/2005/8/layout/orgChart1"/>
    <dgm:cxn modelId="{D0E31CE4-457E-4550-B8E7-5C15712F636E}" type="presParOf" srcId="{A3EF5188-FB3C-4934-BB09-246D4D5078CE}" destId="{01CB1A08-B7C6-4E70-B30C-DD8E4B3A0709}" srcOrd="2" destOrd="0" presId="urn:microsoft.com/office/officeart/2005/8/layout/orgChart1"/>
    <dgm:cxn modelId="{09B1E778-9E25-47FA-8A1E-72F2022F203D}" type="presParOf" srcId="{A3EF5188-FB3C-4934-BB09-246D4D5078CE}" destId="{D5EA8928-B592-4623-B982-59D558F6644F}" srcOrd="3" destOrd="0" presId="urn:microsoft.com/office/officeart/2005/8/layout/orgChart1"/>
    <dgm:cxn modelId="{BB36E796-6051-4C46-BA30-5624916DB769}" type="presParOf" srcId="{D5EA8928-B592-4623-B982-59D558F6644F}" destId="{CCB48D12-3A53-416E-96CA-64723C988D07}" srcOrd="0" destOrd="0" presId="urn:microsoft.com/office/officeart/2005/8/layout/orgChart1"/>
    <dgm:cxn modelId="{7AAD1D6F-6194-4D67-9150-6BB9A1B0F401}" type="presParOf" srcId="{CCB48D12-3A53-416E-96CA-64723C988D07}" destId="{6AC8738B-E57D-49B9-A184-8CA9A4FA1296}" srcOrd="0" destOrd="0" presId="urn:microsoft.com/office/officeart/2005/8/layout/orgChart1"/>
    <dgm:cxn modelId="{0BA61E67-DB17-4F3C-B7DC-1F62F34BFC21}" type="presParOf" srcId="{CCB48D12-3A53-416E-96CA-64723C988D07}" destId="{6F1B8EB6-752B-4353-B379-46B4C17853D7}" srcOrd="1" destOrd="0" presId="urn:microsoft.com/office/officeart/2005/8/layout/orgChart1"/>
    <dgm:cxn modelId="{31CFFF10-FBE1-4BA7-862D-CB9968AF08D4}" type="presParOf" srcId="{D5EA8928-B592-4623-B982-59D558F6644F}" destId="{F9DAD45D-6170-4C5E-84F5-9D57E71238C3}" srcOrd="1" destOrd="0" presId="urn:microsoft.com/office/officeart/2005/8/layout/orgChart1"/>
    <dgm:cxn modelId="{2B19A242-9655-4B78-874E-7B12FADA5F6F}" type="presParOf" srcId="{D5EA8928-B592-4623-B982-59D558F6644F}" destId="{4467B472-D499-4849-812B-2895AC785526}"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2F2229B2-0C70-42B1-B87C-DA9B36A6399C}" type="presParOf" srcId="{7F944FE0-D2A2-405B-BDFF-D1897631706E}" destId="{95E2F74E-F847-4663-BDD7-0A5BE67FBABA}" srcOrd="14" destOrd="0" presId="urn:microsoft.com/office/officeart/2005/8/layout/orgChart1"/>
    <dgm:cxn modelId="{8DA24D95-58D3-4BB0-893B-5F6D5BC3ACE5}" type="presParOf" srcId="{7F944FE0-D2A2-405B-BDFF-D1897631706E}" destId="{58CA9A7A-FBFD-42DB-B4A3-D56704AA6977}" srcOrd="15" destOrd="0" presId="urn:microsoft.com/office/officeart/2005/8/layout/orgChart1"/>
    <dgm:cxn modelId="{D2A2D0D9-1149-4EDC-9153-E7352355EA0F}" type="presParOf" srcId="{58CA9A7A-FBFD-42DB-B4A3-D56704AA6977}" destId="{039843FC-32B3-4C06-BF76-AD0E8557F518}" srcOrd="0" destOrd="0" presId="urn:microsoft.com/office/officeart/2005/8/layout/orgChart1"/>
    <dgm:cxn modelId="{B5B9C8EB-9322-4BB4-B929-4AEBC777E7FD}" type="presParOf" srcId="{039843FC-32B3-4C06-BF76-AD0E8557F518}" destId="{66215115-E87F-416B-87DA-9B997A3EC349}" srcOrd="0" destOrd="0" presId="urn:microsoft.com/office/officeart/2005/8/layout/orgChart1"/>
    <dgm:cxn modelId="{3F68D68D-26F0-44C3-8ABF-2D8629B8374A}" type="presParOf" srcId="{039843FC-32B3-4C06-BF76-AD0E8557F518}" destId="{09DDE27A-7945-43B7-A1B3-41101585F0CD}" srcOrd="1" destOrd="0" presId="urn:microsoft.com/office/officeart/2005/8/layout/orgChart1"/>
    <dgm:cxn modelId="{58E37AAB-1A97-4751-A4D5-37003E7B6110}" type="presParOf" srcId="{58CA9A7A-FBFD-42DB-B4A3-D56704AA6977}" destId="{2A9EE20B-950C-4346-8C81-41F64B0AED1C}" srcOrd="1" destOrd="0" presId="urn:microsoft.com/office/officeart/2005/8/layout/orgChart1"/>
    <dgm:cxn modelId="{21E4B9C0-5953-4ADA-A4E5-57FAE6EDDCB3}" type="presParOf" srcId="{2A9EE20B-950C-4346-8C81-41F64B0AED1C}" destId="{7E7FD6F3-9126-4193-90AD-4DB11A714219}" srcOrd="0" destOrd="0" presId="urn:microsoft.com/office/officeart/2005/8/layout/orgChart1"/>
    <dgm:cxn modelId="{39C19E7C-9395-4DFF-8A43-28D4609A7850}" type="presParOf" srcId="{2A9EE20B-950C-4346-8C81-41F64B0AED1C}" destId="{FAFE6A73-2F05-4C3E-978C-D046192FCEE0}" srcOrd="1" destOrd="0" presId="urn:microsoft.com/office/officeart/2005/8/layout/orgChart1"/>
    <dgm:cxn modelId="{1F97CD95-BAEC-4E49-983A-FCAEC5EB4FE3}" type="presParOf" srcId="{FAFE6A73-2F05-4C3E-978C-D046192FCEE0}" destId="{A4756BBF-71FD-40C0-AD53-C172C19F1872}" srcOrd="0" destOrd="0" presId="urn:microsoft.com/office/officeart/2005/8/layout/orgChart1"/>
    <dgm:cxn modelId="{B88353DF-1723-48F6-9D73-997BC3729A7A}" type="presParOf" srcId="{A4756BBF-71FD-40C0-AD53-C172C19F1872}" destId="{8EBC19D9-6641-4E8A-8D3E-E158CAFD8B8E}" srcOrd="0" destOrd="0" presId="urn:microsoft.com/office/officeart/2005/8/layout/orgChart1"/>
    <dgm:cxn modelId="{C528596F-6789-43B3-AE87-3AAFB3AD7E77}" type="presParOf" srcId="{A4756BBF-71FD-40C0-AD53-C172C19F1872}" destId="{D6CF1455-B0E3-40A5-BAFB-D1438DB5517C}" srcOrd="1" destOrd="0" presId="urn:microsoft.com/office/officeart/2005/8/layout/orgChart1"/>
    <dgm:cxn modelId="{D1A9B6EC-E501-4E59-8598-3640D46EE1C8}" type="presParOf" srcId="{FAFE6A73-2F05-4C3E-978C-D046192FCEE0}" destId="{EB52A766-D344-4AB4-A0C0-513777279628}" srcOrd="1" destOrd="0" presId="urn:microsoft.com/office/officeart/2005/8/layout/orgChart1"/>
    <dgm:cxn modelId="{1127D8FA-33D4-48D9-B49D-194D363D020A}" type="presParOf" srcId="{FAFE6A73-2F05-4C3E-978C-D046192FCEE0}" destId="{77FED6CE-97A4-44B5-9D2E-7D1B858B9AA5}" srcOrd="2" destOrd="0" presId="urn:microsoft.com/office/officeart/2005/8/layout/orgChart1"/>
    <dgm:cxn modelId="{AB25F789-655A-48C5-BED4-496240A9694D}" type="presParOf" srcId="{2A9EE20B-950C-4346-8C81-41F64B0AED1C}" destId="{76CFC805-F291-4381-B894-07A6A5C4C115}" srcOrd="2" destOrd="0" presId="urn:microsoft.com/office/officeart/2005/8/layout/orgChart1"/>
    <dgm:cxn modelId="{8E520F59-B551-4152-9DF5-2596AD7E7E55}" type="presParOf" srcId="{2A9EE20B-950C-4346-8C81-41F64B0AED1C}" destId="{42F8D314-F696-4C68-9A64-6E6F7CE5BCFD}" srcOrd="3" destOrd="0" presId="urn:microsoft.com/office/officeart/2005/8/layout/orgChart1"/>
    <dgm:cxn modelId="{B9BDE1DA-4FB3-4CF1-8D20-1068AC978CCA}" type="presParOf" srcId="{42F8D314-F696-4C68-9A64-6E6F7CE5BCFD}" destId="{A3E0C122-7459-4644-92DB-AD070B63A3CC}" srcOrd="0" destOrd="0" presId="urn:microsoft.com/office/officeart/2005/8/layout/orgChart1"/>
    <dgm:cxn modelId="{AB3B105D-0F86-40DF-BE84-AC1730C270A1}" type="presParOf" srcId="{A3E0C122-7459-4644-92DB-AD070B63A3CC}" destId="{0CA3CF39-25FD-4EA1-A7B0-BF6B8D245D33}" srcOrd="0" destOrd="0" presId="urn:microsoft.com/office/officeart/2005/8/layout/orgChart1"/>
    <dgm:cxn modelId="{30B35BDC-6AFB-4533-B5C3-F57DEEA93F71}" type="presParOf" srcId="{A3E0C122-7459-4644-92DB-AD070B63A3CC}" destId="{FE2C713B-8E1B-4303-9464-1F9960D4FA6C}" srcOrd="1" destOrd="0" presId="urn:microsoft.com/office/officeart/2005/8/layout/orgChart1"/>
    <dgm:cxn modelId="{73B8EFCB-0B2C-4949-8BAC-20CA884B8DF3}" type="presParOf" srcId="{42F8D314-F696-4C68-9A64-6E6F7CE5BCFD}" destId="{57193950-FCDF-49B3-A1BC-DB15AF2D450F}" srcOrd="1" destOrd="0" presId="urn:microsoft.com/office/officeart/2005/8/layout/orgChart1"/>
    <dgm:cxn modelId="{74B79B69-6417-4F4F-81EE-6BA791ECC435}" type="presParOf" srcId="{42F8D314-F696-4C68-9A64-6E6F7CE5BCFD}" destId="{F5619BAF-19ED-48A6-B55E-E8773E08E75B}" srcOrd="2" destOrd="0" presId="urn:microsoft.com/office/officeart/2005/8/layout/orgChart1"/>
    <dgm:cxn modelId="{1A168611-DB38-4454-AF41-9D60902A8943}" type="presParOf" srcId="{2A9EE20B-950C-4346-8C81-41F64B0AED1C}" destId="{30F3901F-10FF-467F-AA5B-E92464144C26}" srcOrd="4" destOrd="0" presId="urn:microsoft.com/office/officeart/2005/8/layout/orgChart1"/>
    <dgm:cxn modelId="{E493C885-56CE-429D-89A8-860B147FB627}" type="presParOf" srcId="{2A9EE20B-950C-4346-8C81-41F64B0AED1C}" destId="{579FB814-1B07-4DD8-9661-A3C88C0A6DC9}" srcOrd="5" destOrd="0" presId="urn:microsoft.com/office/officeart/2005/8/layout/orgChart1"/>
    <dgm:cxn modelId="{9572E0AD-6F8A-4903-84F6-BE1CB9249469}" type="presParOf" srcId="{579FB814-1B07-4DD8-9661-A3C88C0A6DC9}" destId="{C9E726DE-C590-49DF-B29F-D3312E2CC6B3}" srcOrd="0" destOrd="0" presId="urn:microsoft.com/office/officeart/2005/8/layout/orgChart1"/>
    <dgm:cxn modelId="{639A3A43-B5BA-47AA-A5CF-060293A75C78}" type="presParOf" srcId="{C9E726DE-C590-49DF-B29F-D3312E2CC6B3}" destId="{5D92E2B7-A3E1-4909-BB39-66BB32FBB9E1}" srcOrd="0" destOrd="0" presId="urn:microsoft.com/office/officeart/2005/8/layout/orgChart1"/>
    <dgm:cxn modelId="{6F55C1A3-D2F5-41A0-9492-E710AD762567}" type="presParOf" srcId="{C9E726DE-C590-49DF-B29F-D3312E2CC6B3}" destId="{E0C07ED8-6B5B-454A-8BFC-10BA74FEAD57}" srcOrd="1" destOrd="0" presId="urn:microsoft.com/office/officeart/2005/8/layout/orgChart1"/>
    <dgm:cxn modelId="{F182FBB2-296E-47A1-8672-879628B06505}" type="presParOf" srcId="{579FB814-1B07-4DD8-9661-A3C88C0A6DC9}" destId="{FCEEA3F2-56D6-4E3D-8C00-933A11A78993}" srcOrd="1" destOrd="0" presId="urn:microsoft.com/office/officeart/2005/8/layout/orgChart1"/>
    <dgm:cxn modelId="{32529E7E-0E6B-4F4A-8BF4-588993AAA3E2}" type="presParOf" srcId="{579FB814-1B07-4DD8-9661-A3C88C0A6DC9}" destId="{F12085D3-7B75-496B-AD56-AD439F95C6DA}" srcOrd="2" destOrd="0" presId="urn:microsoft.com/office/officeart/2005/8/layout/orgChart1"/>
    <dgm:cxn modelId="{C770BFE6-EAA6-42EA-8985-73505ACE64AA}" type="presParOf" srcId="{58CA9A7A-FBFD-42DB-B4A3-D56704AA6977}" destId="{3833F1C6-A6B1-46E6-8A15-F930B1F8D329}" srcOrd="2" destOrd="0" presId="urn:microsoft.com/office/officeart/2005/8/layout/orgChart1"/>
    <dgm:cxn modelId="{A03D1E97-1B5D-4A18-B833-EE08C7F9467D}" type="presParOf" srcId="{7F944FE0-D2A2-405B-BDFF-D1897631706E}" destId="{6859BE2E-B830-41FF-B86E-79A6F3BD7732}" srcOrd="16" destOrd="0" presId="urn:microsoft.com/office/officeart/2005/8/layout/orgChart1"/>
    <dgm:cxn modelId="{CA1E3C5F-CAD1-45DB-85C6-19E65F1EBACC}" type="presParOf" srcId="{7F944FE0-D2A2-405B-BDFF-D1897631706E}" destId="{8D866DCF-59CC-4DD5-B28E-62F3EE38D392}" srcOrd="17" destOrd="0" presId="urn:microsoft.com/office/officeart/2005/8/layout/orgChart1"/>
    <dgm:cxn modelId="{CABD4B23-CEB8-42AB-9B7A-8FD738AAAC45}" type="presParOf" srcId="{8D866DCF-59CC-4DD5-B28E-62F3EE38D392}" destId="{8AA59441-871E-4CB9-974F-BBB2590582D3}" srcOrd="0" destOrd="0" presId="urn:microsoft.com/office/officeart/2005/8/layout/orgChart1"/>
    <dgm:cxn modelId="{491E19C8-1E3B-491B-9C05-7A86E3CD71B8}" type="presParOf" srcId="{8AA59441-871E-4CB9-974F-BBB2590582D3}" destId="{9A7C5AEB-3E05-469A-95FE-22BE39540AE1}" srcOrd="0" destOrd="0" presId="urn:microsoft.com/office/officeart/2005/8/layout/orgChart1"/>
    <dgm:cxn modelId="{FE3ABCA3-79F6-4968-A6DC-73034FE0ED41}" type="presParOf" srcId="{8AA59441-871E-4CB9-974F-BBB2590582D3}" destId="{43608A5B-3808-436B-B5E2-C7A7C19E947A}" srcOrd="1" destOrd="0" presId="urn:microsoft.com/office/officeart/2005/8/layout/orgChart1"/>
    <dgm:cxn modelId="{8E37A424-516C-485C-9FA9-133CC35D46ED}" type="presParOf" srcId="{8D866DCF-59CC-4DD5-B28E-62F3EE38D392}" destId="{07619283-906A-4B7F-A688-B948772364C0}" srcOrd="1" destOrd="0" presId="urn:microsoft.com/office/officeart/2005/8/layout/orgChart1"/>
    <dgm:cxn modelId="{F811F0DB-48F0-4E93-8EC6-2A84F87F4F67}" type="presParOf" srcId="{07619283-906A-4B7F-A688-B948772364C0}" destId="{DC6EFDC1-E4BD-4838-817D-03402F58B55F}" srcOrd="0" destOrd="0" presId="urn:microsoft.com/office/officeart/2005/8/layout/orgChart1"/>
    <dgm:cxn modelId="{5CC61FFA-6B51-4E44-BAD3-EA02AD19B86F}" type="presParOf" srcId="{07619283-906A-4B7F-A688-B948772364C0}" destId="{35D07A7B-43EF-4D9B-85A3-0E5F9985C792}" srcOrd="1" destOrd="0" presId="urn:microsoft.com/office/officeart/2005/8/layout/orgChart1"/>
    <dgm:cxn modelId="{9D11F158-EB50-43F2-A473-A74BB9281DA8}" type="presParOf" srcId="{35D07A7B-43EF-4D9B-85A3-0E5F9985C792}" destId="{9EC1469D-2A56-4593-836C-982F567F1FED}" srcOrd="0" destOrd="0" presId="urn:microsoft.com/office/officeart/2005/8/layout/orgChart1"/>
    <dgm:cxn modelId="{F7317029-BE61-4E7F-AD0C-8C10F3FA081E}" type="presParOf" srcId="{9EC1469D-2A56-4593-836C-982F567F1FED}" destId="{9C833CA3-79E2-4D8E-9A5F-BCE8BC3D1FE0}" srcOrd="0" destOrd="0" presId="urn:microsoft.com/office/officeart/2005/8/layout/orgChart1"/>
    <dgm:cxn modelId="{2FA3DC07-9E13-4DED-923F-F967206EB71E}" type="presParOf" srcId="{9EC1469D-2A56-4593-836C-982F567F1FED}" destId="{F96B7718-516C-4015-8D29-1CCD48F130B2}" srcOrd="1" destOrd="0" presId="urn:microsoft.com/office/officeart/2005/8/layout/orgChart1"/>
    <dgm:cxn modelId="{BF5F453B-1E2A-4F26-8EA2-794130002657}" type="presParOf" srcId="{35D07A7B-43EF-4D9B-85A3-0E5F9985C792}" destId="{7A807D32-FBE8-43EB-BFBE-E23354459445}" srcOrd="1" destOrd="0" presId="urn:microsoft.com/office/officeart/2005/8/layout/orgChart1"/>
    <dgm:cxn modelId="{357C5F74-0E73-480B-BECD-B775B900AA70}" type="presParOf" srcId="{35D07A7B-43EF-4D9B-85A3-0E5F9985C792}" destId="{F97BFA78-C8D3-4A83-9FAE-E0DDE0090FE6}" srcOrd="2" destOrd="0" presId="urn:microsoft.com/office/officeart/2005/8/layout/orgChart1"/>
    <dgm:cxn modelId="{6EA8C300-BE80-44AC-87C8-8B62DB5B18D0}" type="presParOf" srcId="{07619283-906A-4B7F-A688-B948772364C0}" destId="{DD1684F2-D3F8-4EFD-9D56-20735B499D95}" srcOrd="2" destOrd="0" presId="urn:microsoft.com/office/officeart/2005/8/layout/orgChart1"/>
    <dgm:cxn modelId="{43BD89BA-AFD2-420E-BE8C-796A04C1AD1A}" type="presParOf" srcId="{07619283-906A-4B7F-A688-B948772364C0}" destId="{23353BE9-DDE3-4832-AD6E-654F7F77F3DE}" srcOrd="3" destOrd="0" presId="urn:microsoft.com/office/officeart/2005/8/layout/orgChart1"/>
    <dgm:cxn modelId="{60238C1A-5732-43B8-999C-D7F550BBBB69}" type="presParOf" srcId="{23353BE9-DDE3-4832-AD6E-654F7F77F3DE}" destId="{F9CB08CF-0141-4541-8793-2572AAD7D041}" srcOrd="0" destOrd="0" presId="urn:microsoft.com/office/officeart/2005/8/layout/orgChart1"/>
    <dgm:cxn modelId="{752C2426-7835-44CB-BDA2-4CC9A4F706DD}" type="presParOf" srcId="{F9CB08CF-0141-4541-8793-2572AAD7D041}" destId="{D8FF565D-208D-4B4A-9112-1B9757F98831}" srcOrd="0" destOrd="0" presId="urn:microsoft.com/office/officeart/2005/8/layout/orgChart1"/>
    <dgm:cxn modelId="{AF9A3D92-CD8F-44C0-AE74-2F5E97F97F88}" type="presParOf" srcId="{F9CB08CF-0141-4541-8793-2572AAD7D041}" destId="{A2365CBB-351A-401D-A489-98414E649446}" srcOrd="1" destOrd="0" presId="urn:microsoft.com/office/officeart/2005/8/layout/orgChart1"/>
    <dgm:cxn modelId="{C656DC4B-E08A-4F9A-8691-01F5DC3F4765}" type="presParOf" srcId="{23353BE9-DDE3-4832-AD6E-654F7F77F3DE}" destId="{04A4843F-6750-41C1-A543-8AF0C052C701}" srcOrd="1" destOrd="0" presId="urn:microsoft.com/office/officeart/2005/8/layout/orgChart1"/>
    <dgm:cxn modelId="{0C3D07ED-32B4-4B1E-A5E9-EC33D3A8A141}" type="presParOf" srcId="{23353BE9-DDE3-4832-AD6E-654F7F77F3DE}" destId="{B3973681-638B-4BD2-B7AD-134B78BBBAFF}" srcOrd="2" destOrd="0" presId="urn:microsoft.com/office/officeart/2005/8/layout/orgChart1"/>
    <dgm:cxn modelId="{CC32EEBB-F100-493D-A648-AB655DCA662B}" type="presParOf" srcId="{8D866DCF-59CC-4DD5-B28E-62F3EE38D392}" destId="{836B10AC-82D9-4DB4-A773-693582BDB9D0}"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D1684F2-D3F8-4EFD-9D56-20735B499D95}">
      <dsp:nvSpPr>
        <dsp:cNvPr id="0" name=""/>
        <dsp:cNvSpPr/>
      </dsp:nvSpPr>
      <dsp:spPr>
        <a:xfrm>
          <a:off x="14451922" y="2683709"/>
          <a:ext cx="209116" cy="714946"/>
        </a:xfrm>
        <a:custGeom>
          <a:avLst/>
          <a:gdLst/>
          <a:ahLst/>
          <a:cxnLst/>
          <a:rect l="0" t="0" r="0" b="0"/>
          <a:pathLst>
            <a:path>
              <a:moveTo>
                <a:pt x="0" y="0"/>
              </a:moveTo>
              <a:lnTo>
                <a:pt x="0" y="714946"/>
              </a:lnTo>
              <a:lnTo>
                <a:pt x="209116" y="7149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C6EFDC1-E4BD-4838-817D-03402F58B55F}">
      <dsp:nvSpPr>
        <dsp:cNvPr id="0" name=""/>
        <dsp:cNvSpPr/>
      </dsp:nvSpPr>
      <dsp:spPr>
        <a:xfrm>
          <a:off x="14451922" y="2683709"/>
          <a:ext cx="209116" cy="285031"/>
        </a:xfrm>
        <a:custGeom>
          <a:avLst/>
          <a:gdLst/>
          <a:ahLst/>
          <a:cxnLst/>
          <a:rect l="0" t="0" r="0" b="0"/>
          <a:pathLst>
            <a:path>
              <a:moveTo>
                <a:pt x="0" y="0"/>
              </a:moveTo>
              <a:lnTo>
                <a:pt x="0" y="285031"/>
              </a:lnTo>
              <a:lnTo>
                <a:pt x="209116" y="285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859BE2E-B830-41FF-B86E-79A6F3BD7732}">
      <dsp:nvSpPr>
        <dsp:cNvPr id="0" name=""/>
        <dsp:cNvSpPr/>
      </dsp:nvSpPr>
      <dsp:spPr>
        <a:xfrm>
          <a:off x="8265231" y="1852579"/>
          <a:ext cx="6698767" cy="528372"/>
        </a:xfrm>
        <a:custGeom>
          <a:avLst/>
          <a:gdLst/>
          <a:ahLst/>
          <a:cxnLst/>
          <a:rect l="0" t="0" r="0" b="0"/>
          <a:pathLst>
            <a:path>
              <a:moveTo>
                <a:pt x="0" y="0"/>
              </a:moveTo>
              <a:lnTo>
                <a:pt x="0" y="464793"/>
              </a:lnTo>
              <a:lnTo>
                <a:pt x="6698767" y="464793"/>
              </a:lnTo>
              <a:lnTo>
                <a:pt x="6698767"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0F3901F-10FF-467F-AA5B-E92464144C26}">
      <dsp:nvSpPr>
        <dsp:cNvPr id="0" name=""/>
        <dsp:cNvSpPr/>
      </dsp:nvSpPr>
      <dsp:spPr>
        <a:xfrm>
          <a:off x="13430493" y="2683709"/>
          <a:ext cx="144796" cy="1144862"/>
        </a:xfrm>
        <a:custGeom>
          <a:avLst/>
          <a:gdLst/>
          <a:ahLst/>
          <a:cxnLst/>
          <a:rect l="0" t="0" r="0" b="0"/>
          <a:pathLst>
            <a:path>
              <a:moveTo>
                <a:pt x="0" y="0"/>
              </a:moveTo>
              <a:lnTo>
                <a:pt x="0" y="1144862"/>
              </a:lnTo>
              <a:lnTo>
                <a:pt x="144796" y="11448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6CFC805-F291-4381-B894-07A6A5C4C115}">
      <dsp:nvSpPr>
        <dsp:cNvPr id="0" name=""/>
        <dsp:cNvSpPr/>
      </dsp:nvSpPr>
      <dsp:spPr>
        <a:xfrm>
          <a:off x="13430493" y="2683709"/>
          <a:ext cx="144796" cy="714946"/>
        </a:xfrm>
        <a:custGeom>
          <a:avLst/>
          <a:gdLst/>
          <a:ahLst/>
          <a:cxnLst/>
          <a:rect l="0" t="0" r="0" b="0"/>
          <a:pathLst>
            <a:path>
              <a:moveTo>
                <a:pt x="0" y="0"/>
              </a:moveTo>
              <a:lnTo>
                <a:pt x="0" y="714946"/>
              </a:lnTo>
              <a:lnTo>
                <a:pt x="144796" y="7149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E7FD6F3-9126-4193-90AD-4DB11A714219}">
      <dsp:nvSpPr>
        <dsp:cNvPr id="0" name=""/>
        <dsp:cNvSpPr/>
      </dsp:nvSpPr>
      <dsp:spPr>
        <a:xfrm>
          <a:off x="13430493" y="2683709"/>
          <a:ext cx="144796" cy="285031"/>
        </a:xfrm>
        <a:custGeom>
          <a:avLst/>
          <a:gdLst/>
          <a:ahLst/>
          <a:cxnLst/>
          <a:rect l="0" t="0" r="0" b="0"/>
          <a:pathLst>
            <a:path>
              <a:moveTo>
                <a:pt x="0" y="0"/>
              </a:moveTo>
              <a:lnTo>
                <a:pt x="0" y="285031"/>
              </a:lnTo>
              <a:lnTo>
                <a:pt x="144796" y="285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5E2F74E-F847-4663-BDD7-0A5BE67FBABA}">
      <dsp:nvSpPr>
        <dsp:cNvPr id="0" name=""/>
        <dsp:cNvSpPr/>
      </dsp:nvSpPr>
      <dsp:spPr>
        <a:xfrm>
          <a:off x="8265231" y="1852579"/>
          <a:ext cx="5505818" cy="528372"/>
        </a:xfrm>
        <a:custGeom>
          <a:avLst/>
          <a:gdLst/>
          <a:ahLst/>
          <a:cxnLst/>
          <a:rect l="0" t="0" r="0" b="0"/>
          <a:pathLst>
            <a:path>
              <a:moveTo>
                <a:pt x="0" y="0"/>
              </a:moveTo>
              <a:lnTo>
                <a:pt x="0" y="464793"/>
              </a:lnTo>
              <a:lnTo>
                <a:pt x="5505818" y="464793"/>
              </a:lnTo>
              <a:lnTo>
                <a:pt x="5505818"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1CB1A08-B7C6-4E70-B30C-DD8E4B3A0709}">
      <dsp:nvSpPr>
        <dsp:cNvPr id="0" name=""/>
        <dsp:cNvSpPr/>
      </dsp:nvSpPr>
      <dsp:spPr>
        <a:xfrm>
          <a:off x="12457506" y="2683709"/>
          <a:ext cx="129629" cy="714946"/>
        </a:xfrm>
        <a:custGeom>
          <a:avLst/>
          <a:gdLst/>
          <a:ahLst/>
          <a:cxnLst/>
          <a:rect l="0" t="0" r="0" b="0"/>
          <a:pathLst>
            <a:path>
              <a:moveTo>
                <a:pt x="0" y="0"/>
              </a:moveTo>
              <a:lnTo>
                <a:pt x="0" y="714946"/>
              </a:lnTo>
              <a:lnTo>
                <a:pt x="129629" y="7149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EEB592F-7552-4FFF-A0E9-68D526D5F137}">
      <dsp:nvSpPr>
        <dsp:cNvPr id="0" name=""/>
        <dsp:cNvSpPr/>
      </dsp:nvSpPr>
      <dsp:spPr>
        <a:xfrm>
          <a:off x="12457506" y="2683709"/>
          <a:ext cx="129629" cy="285031"/>
        </a:xfrm>
        <a:custGeom>
          <a:avLst/>
          <a:gdLst/>
          <a:ahLst/>
          <a:cxnLst/>
          <a:rect l="0" t="0" r="0" b="0"/>
          <a:pathLst>
            <a:path>
              <a:moveTo>
                <a:pt x="0" y="0"/>
              </a:moveTo>
              <a:lnTo>
                <a:pt x="0" y="285031"/>
              </a:lnTo>
              <a:lnTo>
                <a:pt x="129629" y="285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8265231" y="1852579"/>
          <a:ext cx="4537954" cy="528372"/>
        </a:xfrm>
        <a:custGeom>
          <a:avLst/>
          <a:gdLst/>
          <a:ahLst/>
          <a:cxnLst/>
          <a:rect l="0" t="0" r="0" b="0"/>
          <a:pathLst>
            <a:path>
              <a:moveTo>
                <a:pt x="0" y="0"/>
              </a:moveTo>
              <a:lnTo>
                <a:pt x="0" y="464793"/>
              </a:lnTo>
              <a:lnTo>
                <a:pt x="4537954" y="464793"/>
              </a:lnTo>
              <a:lnTo>
                <a:pt x="4537954"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F705543-8EE9-4A05-97D7-9198F5ECD503}">
      <dsp:nvSpPr>
        <dsp:cNvPr id="0" name=""/>
        <dsp:cNvSpPr/>
      </dsp:nvSpPr>
      <dsp:spPr>
        <a:xfrm>
          <a:off x="11416293" y="2683709"/>
          <a:ext cx="137939" cy="1144862"/>
        </a:xfrm>
        <a:custGeom>
          <a:avLst/>
          <a:gdLst/>
          <a:ahLst/>
          <a:cxnLst/>
          <a:rect l="0" t="0" r="0" b="0"/>
          <a:pathLst>
            <a:path>
              <a:moveTo>
                <a:pt x="0" y="0"/>
              </a:moveTo>
              <a:lnTo>
                <a:pt x="0" y="1144862"/>
              </a:lnTo>
              <a:lnTo>
                <a:pt x="137939" y="11448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C26703-2B8E-4667-8D30-6549C1A0661F}">
      <dsp:nvSpPr>
        <dsp:cNvPr id="0" name=""/>
        <dsp:cNvSpPr/>
      </dsp:nvSpPr>
      <dsp:spPr>
        <a:xfrm>
          <a:off x="11416293" y="2683709"/>
          <a:ext cx="137939" cy="714946"/>
        </a:xfrm>
        <a:custGeom>
          <a:avLst/>
          <a:gdLst/>
          <a:ahLst/>
          <a:cxnLst/>
          <a:rect l="0" t="0" r="0" b="0"/>
          <a:pathLst>
            <a:path>
              <a:moveTo>
                <a:pt x="0" y="0"/>
              </a:moveTo>
              <a:lnTo>
                <a:pt x="0" y="714946"/>
              </a:lnTo>
              <a:lnTo>
                <a:pt x="137939" y="7149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B6E15DD-1265-4A59-8F9D-9210E52478A3}">
      <dsp:nvSpPr>
        <dsp:cNvPr id="0" name=""/>
        <dsp:cNvSpPr/>
      </dsp:nvSpPr>
      <dsp:spPr>
        <a:xfrm>
          <a:off x="11416293" y="2683709"/>
          <a:ext cx="137939" cy="285031"/>
        </a:xfrm>
        <a:custGeom>
          <a:avLst/>
          <a:gdLst/>
          <a:ahLst/>
          <a:cxnLst/>
          <a:rect l="0" t="0" r="0" b="0"/>
          <a:pathLst>
            <a:path>
              <a:moveTo>
                <a:pt x="0" y="0"/>
              </a:moveTo>
              <a:lnTo>
                <a:pt x="0" y="285031"/>
              </a:lnTo>
              <a:lnTo>
                <a:pt x="137939" y="285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8265231" y="1852579"/>
          <a:ext cx="3518899" cy="528372"/>
        </a:xfrm>
        <a:custGeom>
          <a:avLst/>
          <a:gdLst/>
          <a:ahLst/>
          <a:cxnLst/>
          <a:rect l="0" t="0" r="0" b="0"/>
          <a:pathLst>
            <a:path>
              <a:moveTo>
                <a:pt x="0" y="0"/>
              </a:moveTo>
              <a:lnTo>
                <a:pt x="0" y="464793"/>
              </a:lnTo>
              <a:lnTo>
                <a:pt x="3518899" y="464793"/>
              </a:lnTo>
              <a:lnTo>
                <a:pt x="3518899"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C031FE0-21D7-4C6E-AA66-DDB90A435C1D}">
      <dsp:nvSpPr>
        <dsp:cNvPr id="0" name=""/>
        <dsp:cNvSpPr/>
      </dsp:nvSpPr>
      <dsp:spPr>
        <a:xfrm>
          <a:off x="10253598" y="2683709"/>
          <a:ext cx="157262" cy="1574778"/>
        </a:xfrm>
        <a:custGeom>
          <a:avLst/>
          <a:gdLst/>
          <a:ahLst/>
          <a:cxnLst/>
          <a:rect l="0" t="0" r="0" b="0"/>
          <a:pathLst>
            <a:path>
              <a:moveTo>
                <a:pt x="0" y="0"/>
              </a:moveTo>
              <a:lnTo>
                <a:pt x="0" y="1574778"/>
              </a:lnTo>
              <a:lnTo>
                <a:pt x="157262" y="157477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10253598" y="2683709"/>
          <a:ext cx="157262" cy="1144862"/>
        </a:xfrm>
        <a:custGeom>
          <a:avLst/>
          <a:gdLst/>
          <a:ahLst/>
          <a:cxnLst/>
          <a:rect l="0" t="0" r="0" b="0"/>
          <a:pathLst>
            <a:path>
              <a:moveTo>
                <a:pt x="0" y="0"/>
              </a:moveTo>
              <a:lnTo>
                <a:pt x="0" y="1144862"/>
              </a:lnTo>
              <a:lnTo>
                <a:pt x="157262" y="114486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DE5ED83-3230-40DE-958C-7CC3FCFF93F8}">
      <dsp:nvSpPr>
        <dsp:cNvPr id="0" name=""/>
        <dsp:cNvSpPr/>
      </dsp:nvSpPr>
      <dsp:spPr>
        <a:xfrm>
          <a:off x="10253598" y="2683709"/>
          <a:ext cx="157262" cy="714946"/>
        </a:xfrm>
        <a:custGeom>
          <a:avLst/>
          <a:gdLst/>
          <a:ahLst/>
          <a:cxnLst/>
          <a:rect l="0" t="0" r="0" b="0"/>
          <a:pathLst>
            <a:path>
              <a:moveTo>
                <a:pt x="0" y="0"/>
              </a:moveTo>
              <a:lnTo>
                <a:pt x="0" y="714946"/>
              </a:lnTo>
              <a:lnTo>
                <a:pt x="157262" y="7149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10253598" y="2683709"/>
          <a:ext cx="157262" cy="285031"/>
        </a:xfrm>
        <a:custGeom>
          <a:avLst/>
          <a:gdLst/>
          <a:ahLst/>
          <a:cxnLst/>
          <a:rect l="0" t="0" r="0" b="0"/>
          <a:pathLst>
            <a:path>
              <a:moveTo>
                <a:pt x="0" y="0"/>
              </a:moveTo>
              <a:lnTo>
                <a:pt x="0" y="285031"/>
              </a:lnTo>
              <a:lnTo>
                <a:pt x="157262" y="285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8265231" y="1852579"/>
          <a:ext cx="2407734" cy="528372"/>
        </a:xfrm>
        <a:custGeom>
          <a:avLst/>
          <a:gdLst/>
          <a:ahLst/>
          <a:cxnLst/>
          <a:rect l="0" t="0" r="0" b="0"/>
          <a:pathLst>
            <a:path>
              <a:moveTo>
                <a:pt x="0" y="0"/>
              </a:moveTo>
              <a:lnTo>
                <a:pt x="0" y="464793"/>
              </a:lnTo>
              <a:lnTo>
                <a:pt x="2407734" y="464793"/>
              </a:lnTo>
              <a:lnTo>
                <a:pt x="2407734"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7DD972-E039-4155-952E-92369208ECAC}">
      <dsp:nvSpPr>
        <dsp:cNvPr id="0" name=""/>
        <dsp:cNvSpPr/>
      </dsp:nvSpPr>
      <dsp:spPr>
        <a:xfrm>
          <a:off x="9541640"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5CD00D6-D626-47D1-AC35-959ABF7D017C}">
      <dsp:nvSpPr>
        <dsp:cNvPr id="0" name=""/>
        <dsp:cNvSpPr/>
      </dsp:nvSpPr>
      <dsp:spPr>
        <a:xfrm>
          <a:off x="9541640"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DA155C8-2302-48A2-B4B2-E75D974C90B8}">
      <dsp:nvSpPr>
        <dsp:cNvPr id="0" name=""/>
        <dsp:cNvSpPr/>
      </dsp:nvSpPr>
      <dsp:spPr>
        <a:xfrm>
          <a:off x="8730556" y="2683709"/>
          <a:ext cx="1099009" cy="133652"/>
        </a:xfrm>
        <a:custGeom>
          <a:avLst/>
          <a:gdLst/>
          <a:ahLst/>
          <a:cxnLst/>
          <a:rect l="0" t="0" r="0" b="0"/>
          <a:pathLst>
            <a:path>
              <a:moveTo>
                <a:pt x="0" y="0"/>
              </a:moveTo>
              <a:lnTo>
                <a:pt x="0" y="70073"/>
              </a:lnTo>
              <a:lnTo>
                <a:pt x="1099009" y="70073"/>
              </a:lnTo>
              <a:lnTo>
                <a:pt x="1099009"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17B5A17-DEC1-4D68-BD57-872653DA8903}">
      <dsp:nvSpPr>
        <dsp:cNvPr id="0" name=""/>
        <dsp:cNvSpPr/>
      </dsp:nvSpPr>
      <dsp:spPr>
        <a:xfrm>
          <a:off x="8808967"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6CD7BA9-1BDB-44FE-ACF3-BD373E904C1D}">
      <dsp:nvSpPr>
        <dsp:cNvPr id="0" name=""/>
        <dsp:cNvSpPr/>
      </dsp:nvSpPr>
      <dsp:spPr>
        <a:xfrm>
          <a:off x="8730556" y="2683709"/>
          <a:ext cx="366336" cy="133652"/>
        </a:xfrm>
        <a:custGeom>
          <a:avLst/>
          <a:gdLst/>
          <a:ahLst/>
          <a:cxnLst/>
          <a:rect l="0" t="0" r="0" b="0"/>
          <a:pathLst>
            <a:path>
              <a:moveTo>
                <a:pt x="0" y="0"/>
              </a:moveTo>
              <a:lnTo>
                <a:pt x="0" y="70073"/>
              </a:lnTo>
              <a:lnTo>
                <a:pt x="366336" y="70073"/>
              </a:lnTo>
              <a:lnTo>
                <a:pt x="366336"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1EA719A-EBF2-425E-9D29-7CD52B07BC03}">
      <dsp:nvSpPr>
        <dsp:cNvPr id="0" name=""/>
        <dsp:cNvSpPr/>
      </dsp:nvSpPr>
      <dsp:spPr>
        <a:xfrm>
          <a:off x="8076294"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8364220" y="2683709"/>
          <a:ext cx="366336" cy="133652"/>
        </a:xfrm>
        <a:custGeom>
          <a:avLst/>
          <a:gdLst/>
          <a:ahLst/>
          <a:cxnLst/>
          <a:rect l="0" t="0" r="0" b="0"/>
          <a:pathLst>
            <a:path>
              <a:moveTo>
                <a:pt x="366336" y="0"/>
              </a:moveTo>
              <a:lnTo>
                <a:pt x="366336" y="70073"/>
              </a:lnTo>
              <a:lnTo>
                <a:pt x="0" y="70073"/>
              </a:lnTo>
              <a:lnTo>
                <a:pt x="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3DEE367-2894-4921-A66A-A9037DBF2BEA}">
      <dsp:nvSpPr>
        <dsp:cNvPr id="0" name=""/>
        <dsp:cNvSpPr/>
      </dsp:nvSpPr>
      <dsp:spPr>
        <a:xfrm>
          <a:off x="7631547" y="2683709"/>
          <a:ext cx="1099009" cy="133652"/>
        </a:xfrm>
        <a:custGeom>
          <a:avLst/>
          <a:gdLst/>
          <a:ahLst/>
          <a:cxnLst/>
          <a:rect l="0" t="0" r="0" b="0"/>
          <a:pathLst>
            <a:path>
              <a:moveTo>
                <a:pt x="1099009" y="0"/>
              </a:moveTo>
              <a:lnTo>
                <a:pt x="1099009" y="70073"/>
              </a:lnTo>
              <a:lnTo>
                <a:pt x="0" y="70073"/>
              </a:lnTo>
              <a:lnTo>
                <a:pt x="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8265231" y="1852579"/>
          <a:ext cx="465325" cy="528372"/>
        </a:xfrm>
        <a:custGeom>
          <a:avLst/>
          <a:gdLst/>
          <a:ahLst/>
          <a:cxnLst/>
          <a:rect l="0" t="0" r="0" b="0"/>
          <a:pathLst>
            <a:path>
              <a:moveTo>
                <a:pt x="0" y="0"/>
              </a:moveTo>
              <a:lnTo>
                <a:pt x="0" y="464793"/>
              </a:lnTo>
              <a:lnTo>
                <a:pt x="465325" y="464793"/>
              </a:lnTo>
              <a:lnTo>
                <a:pt x="465325"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CD67D30-8778-4C1F-8557-06A29D5D73C8}">
      <dsp:nvSpPr>
        <dsp:cNvPr id="0" name=""/>
        <dsp:cNvSpPr/>
      </dsp:nvSpPr>
      <dsp:spPr>
        <a:xfrm>
          <a:off x="6610947" y="3120119"/>
          <a:ext cx="91440" cy="1138368"/>
        </a:xfrm>
        <a:custGeom>
          <a:avLst/>
          <a:gdLst/>
          <a:ahLst/>
          <a:cxnLst/>
          <a:rect l="0" t="0" r="0" b="0"/>
          <a:pathLst>
            <a:path>
              <a:moveTo>
                <a:pt x="45720" y="0"/>
              </a:moveTo>
              <a:lnTo>
                <a:pt x="45720" y="1138368"/>
              </a:lnTo>
              <a:lnTo>
                <a:pt x="136547" y="113836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CFD2EAA-AE75-484A-98F6-2B9A1298C8C0}">
      <dsp:nvSpPr>
        <dsp:cNvPr id="0" name=""/>
        <dsp:cNvSpPr/>
      </dsp:nvSpPr>
      <dsp:spPr>
        <a:xfrm>
          <a:off x="6610947"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C1464FB-78A0-4E42-BDDA-BF5121921D5B}">
      <dsp:nvSpPr>
        <dsp:cNvPr id="0" name=""/>
        <dsp:cNvSpPr/>
      </dsp:nvSpPr>
      <dsp:spPr>
        <a:xfrm>
          <a:off x="6610947"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ECA5FDC4-14A3-4529-AA0E-9A25620DF249}">
      <dsp:nvSpPr>
        <dsp:cNvPr id="0" name=""/>
        <dsp:cNvSpPr/>
      </dsp:nvSpPr>
      <dsp:spPr>
        <a:xfrm>
          <a:off x="6166200" y="2683709"/>
          <a:ext cx="732673" cy="133652"/>
        </a:xfrm>
        <a:custGeom>
          <a:avLst/>
          <a:gdLst/>
          <a:ahLst/>
          <a:cxnLst/>
          <a:rect l="0" t="0" r="0" b="0"/>
          <a:pathLst>
            <a:path>
              <a:moveTo>
                <a:pt x="0" y="0"/>
              </a:moveTo>
              <a:lnTo>
                <a:pt x="0" y="70073"/>
              </a:lnTo>
              <a:lnTo>
                <a:pt x="732673" y="70073"/>
              </a:lnTo>
              <a:lnTo>
                <a:pt x="732673"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94AA57E-0A57-4261-83D4-E8E121F7E638}">
      <dsp:nvSpPr>
        <dsp:cNvPr id="0" name=""/>
        <dsp:cNvSpPr/>
      </dsp:nvSpPr>
      <dsp:spPr>
        <a:xfrm>
          <a:off x="5878274" y="3120119"/>
          <a:ext cx="91440" cy="1568283"/>
        </a:xfrm>
        <a:custGeom>
          <a:avLst/>
          <a:gdLst/>
          <a:ahLst/>
          <a:cxnLst/>
          <a:rect l="0" t="0" r="0" b="0"/>
          <a:pathLst>
            <a:path>
              <a:moveTo>
                <a:pt x="45720" y="0"/>
              </a:moveTo>
              <a:lnTo>
                <a:pt x="45720" y="1568283"/>
              </a:lnTo>
              <a:lnTo>
                <a:pt x="136547" y="156828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C4DEE6B-4DD3-4A5B-B920-F9FABD7DEA4B}">
      <dsp:nvSpPr>
        <dsp:cNvPr id="0" name=""/>
        <dsp:cNvSpPr/>
      </dsp:nvSpPr>
      <dsp:spPr>
        <a:xfrm>
          <a:off x="5878274" y="3120119"/>
          <a:ext cx="91440" cy="1138368"/>
        </a:xfrm>
        <a:custGeom>
          <a:avLst/>
          <a:gdLst/>
          <a:ahLst/>
          <a:cxnLst/>
          <a:rect l="0" t="0" r="0" b="0"/>
          <a:pathLst>
            <a:path>
              <a:moveTo>
                <a:pt x="45720" y="0"/>
              </a:moveTo>
              <a:lnTo>
                <a:pt x="45720" y="1138368"/>
              </a:lnTo>
              <a:lnTo>
                <a:pt x="136547" y="113836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50C3395-4105-4B1C-8F76-B7ECA78B96FF}">
      <dsp:nvSpPr>
        <dsp:cNvPr id="0" name=""/>
        <dsp:cNvSpPr/>
      </dsp:nvSpPr>
      <dsp:spPr>
        <a:xfrm>
          <a:off x="5878274"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BEAF106-541E-4D2A-A1C9-5CB298386A2C}">
      <dsp:nvSpPr>
        <dsp:cNvPr id="0" name=""/>
        <dsp:cNvSpPr/>
      </dsp:nvSpPr>
      <dsp:spPr>
        <a:xfrm>
          <a:off x="5878274"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8D55063-3940-488A-9702-C3D93AC20CE6}">
      <dsp:nvSpPr>
        <dsp:cNvPr id="0" name=""/>
        <dsp:cNvSpPr/>
      </dsp:nvSpPr>
      <dsp:spPr>
        <a:xfrm>
          <a:off x="6120480" y="2683709"/>
          <a:ext cx="91440" cy="133652"/>
        </a:xfrm>
        <a:custGeom>
          <a:avLst/>
          <a:gdLst/>
          <a:ahLst/>
          <a:cxnLst/>
          <a:rect l="0" t="0" r="0" b="0"/>
          <a:pathLst>
            <a:path>
              <a:moveTo>
                <a:pt x="45720" y="0"/>
              </a:moveTo>
              <a:lnTo>
                <a:pt x="4572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384F49A-DCE7-4743-AF3D-96EF074C6CEA}">
      <dsp:nvSpPr>
        <dsp:cNvPr id="0" name=""/>
        <dsp:cNvSpPr/>
      </dsp:nvSpPr>
      <dsp:spPr>
        <a:xfrm>
          <a:off x="5145601" y="3120119"/>
          <a:ext cx="91440" cy="1568283"/>
        </a:xfrm>
        <a:custGeom>
          <a:avLst/>
          <a:gdLst/>
          <a:ahLst/>
          <a:cxnLst/>
          <a:rect l="0" t="0" r="0" b="0"/>
          <a:pathLst>
            <a:path>
              <a:moveTo>
                <a:pt x="45720" y="0"/>
              </a:moveTo>
              <a:lnTo>
                <a:pt x="45720" y="1568283"/>
              </a:lnTo>
              <a:lnTo>
                <a:pt x="136547" y="156828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E65ACC12-704A-4DB3-B473-886E758C6012}">
      <dsp:nvSpPr>
        <dsp:cNvPr id="0" name=""/>
        <dsp:cNvSpPr/>
      </dsp:nvSpPr>
      <dsp:spPr>
        <a:xfrm>
          <a:off x="5145601" y="3120119"/>
          <a:ext cx="91440" cy="1138368"/>
        </a:xfrm>
        <a:custGeom>
          <a:avLst/>
          <a:gdLst/>
          <a:ahLst/>
          <a:cxnLst/>
          <a:rect l="0" t="0" r="0" b="0"/>
          <a:pathLst>
            <a:path>
              <a:moveTo>
                <a:pt x="45720" y="0"/>
              </a:moveTo>
              <a:lnTo>
                <a:pt x="45720" y="1138368"/>
              </a:lnTo>
              <a:lnTo>
                <a:pt x="136547" y="113836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A89F35E-7F48-4116-9B53-E087577800DA}">
      <dsp:nvSpPr>
        <dsp:cNvPr id="0" name=""/>
        <dsp:cNvSpPr/>
      </dsp:nvSpPr>
      <dsp:spPr>
        <a:xfrm>
          <a:off x="5145601"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B358519-0C2C-4464-B502-83D39B61EFE0}">
      <dsp:nvSpPr>
        <dsp:cNvPr id="0" name=""/>
        <dsp:cNvSpPr/>
      </dsp:nvSpPr>
      <dsp:spPr>
        <a:xfrm>
          <a:off x="5145601"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C56313E-7D1A-40B8-A07E-A43719F70304}">
      <dsp:nvSpPr>
        <dsp:cNvPr id="0" name=""/>
        <dsp:cNvSpPr/>
      </dsp:nvSpPr>
      <dsp:spPr>
        <a:xfrm>
          <a:off x="5433527" y="2683709"/>
          <a:ext cx="732673" cy="133652"/>
        </a:xfrm>
        <a:custGeom>
          <a:avLst/>
          <a:gdLst/>
          <a:ahLst/>
          <a:cxnLst/>
          <a:rect l="0" t="0" r="0" b="0"/>
          <a:pathLst>
            <a:path>
              <a:moveTo>
                <a:pt x="732673" y="0"/>
              </a:moveTo>
              <a:lnTo>
                <a:pt x="732673" y="70073"/>
              </a:lnTo>
              <a:lnTo>
                <a:pt x="0" y="70073"/>
              </a:lnTo>
              <a:lnTo>
                <a:pt x="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6166200" y="1852579"/>
          <a:ext cx="2099030" cy="528372"/>
        </a:xfrm>
        <a:custGeom>
          <a:avLst/>
          <a:gdLst/>
          <a:ahLst/>
          <a:cxnLst/>
          <a:rect l="0" t="0" r="0" b="0"/>
          <a:pathLst>
            <a:path>
              <a:moveTo>
                <a:pt x="2099030" y="0"/>
              </a:moveTo>
              <a:lnTo>
                <a:pt x="2099030" y="464793"/>
              </a:lnTo>
              <a:lnTo>
                <a:pt x="0" y="464793"/>
              </a:lnTo>
              <a:lnTo>
                <a:pt x="0"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DC370E8-C554-48DD-9281-CE956BBCACC1}">
      <dsp:nvSpPr>
        <dsp:cNvPr id="0" name=""/>
        <dsp:cNvSpPr/>
      </dsp:nvSpPr>
      <dsp:spPr>
        <a:xfrm>
          <a:off x="4412928"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C3B02D7-A9B7-4BDF-8897-F12B1B1D6A2C}">
      <dsp:nvSpPr>
        <dsp:cNvPr id="0" name=""/>
        <dsp:cNvSpPr/>
      </dsp:nvSpPr>
      <dsp:spPr>
        <a:xfrm>
          <a:off x="4412928"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4F5CDF-7B06-4007-B10B-B4FD17AF8CF2}">
      <dsp:nvSpPr>
        <dsp:cNvPr id="0" name=""/>
        <dsp:cNvSpPr/>
      </dsp:nvSpPr>
      <dsp:spPr>
        <a:xfrm>
          <a:off x="3968181" y="2683709"/>
          <a:ext cx="732673" cy="133652"/>
        </a:xfrm>
        <a:custGeom>
          <a:avLst/>
          <a:gdLst/>
          <a:ahLst/>
          <a:cxnLst/>
          <a:rect l="0" t="0" r="0" b="0"/>
          <a:pathLst>
            <a:path>
              <a:moveTo>
                <a:pt x="0" y="0"/>
              </a:moveTo>
              <a:lnTo>
                <a:pt x="0" y="70073"/>
              </a:lnTo>
              <a:lnTo>
                <a:pt x="732673" y="70073"/>
              </a:lnTo>
              <a:lnTo>
                <a:pt x="732673"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E17D48-EDEB-435D-B3C2-B09395E9FEFB}">
      <dsp:nvSpPr>
        <dsp:cNvPr id="0" name=""/>
        <dsp:cNvSpPr/>
      </dsp:nvSpPr>
      <dsp:spPr>
        <a:xfrm>
          <a:off x="3680255"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3922461" y="2683709"/>
          <a:ext cx="91440" cy="133652"/>
        </a:xfrm>
        <a:custGeom>
          <a:avLst/>
          <a:gdLst/>
          <a:ahLst/>
          <a:cxnLst/>
          <a:rect l="0" t="0" r="0" b="0"/>
          <a:pathLst>
            <a:path>
              <a:moveTo>
                <a:pt x="45720" y="0"/>
              </a:moveTo>
              <a:lnTo>
                <a:pt x="4572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F93B8C2-9EF9-40C7-887A-306A3910861C}">
      <dsp:nvSpPr>
        <dsp:cNvPr id="0" name=""/>
        <dsp:cNvSpPr/>
      </dsp:nvSpPr>
      <dsp:spPr>
        <a:xfrm>
          <a:off x="2947582"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3235508" y="2683709"/>
          <a:ext cx="732673" cy="133652"/>
        </a:xfrm>
        <a:custGeom>
          <a:avLst/>
          <a:gdLst/>
          <a:ahLst/>
          <a:cxnLst/>
          <a:rect l="0" t="0" r="0" b="0"/>
          <a:pathLst>
            <a:path>
              <a:moveTo>
                <a:pt x="732673" y="0"/>
              </a:moveTo>
              <a:lnTo>
                <a:pt x="732673" y="70073"/>
              </a:lnTo>
              <a:lnTo>
                <a:pt x="0" y="70073"/>
              </a:lnTo>
              <a:lnTo>
                <a:pt x="0" y="1336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3968181" y="1852579"/>
          <a:ext cx="4297050" cy="528372"/>
        </a:xfrm>
        <a:custGeom>
          <a:avLst/>
          <a:gdLst/>
          <a:ahLst/>
          <a:cxnLst/>
          <a:rect l="0" t="0" r="0" b="0"/>
          <a:pathLst>
            <a:path>
              <a:moveTo>
                <a:pt x="4297050" y="0"/>
              </a:moveTo>
              <a:lnTo>
                <a:pt x="4297050" y="464793"/>
              </a:lnTo>
              <a:lnTo>
                <a:pt x="0" y="464793"/>
              </a:lnTo>
              <a:lnTo>
                <a:pt x="0" y="52837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D40F0E8-89BB-4444-B77D-50D149F2D0BD}">
      <dsp:nvSpPr>
        <dsp:cNvPr id="0" name=""/>
        <dsp:cNvSpPr/>
      </dsp:nvSpPr>
      <dsp:spPr>
        <a:xfrm>
          <a:off x="2214908"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A19E82D-8E6C-4C7E-B889-87BAFCC766F7}">
      <dsp:nvSpPr>
        <dsp:cNvPr id="0" name=""/>
        <dsp:cNvSpPr/>
      </dsp:nvSpPr>
      <dsp:spPr>
        <a:xfrm>
          <a:off x="1390134" y="2690203"/>
          <a:ext cx="1112700" cy="127158"/>
        </a:xfrm>
        <a:custGeom>
          <a:avLst/>
          <a:gdLst/>
          <a:ahLst/>
          <a:cxnLst/>
          <a:rect l="0" t="0" r="0" b="0"/>
          <a:pathLst>
            <a:path>
              <a:moveTo>
                <a:pt x="0" y="0"/>
              </a:moveTo>
              <a:lnTo>
                <a:pt x="0" y="63579"/>
              </a:lnTo>
              <a:lnTo>
                <a:pt x="1112700" y="63579"/>
              </a:lnTo>
              <a:lnTo>
                <a:pt x="1112700" y="1271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1390134" y="2690203"/>
          <a:ext cx="362806" cy="127158"/>
        </a:xfrm>
        <a:custGeom>
          <a:avLst/>
          <a:gdLst/>
          <a:ahLst/>
          <a:cxnLst/>
          <a:rect l="0" t="0" r="0" b="0"/>
          <a:pathLst>
            <a:path>
              <a:moveTo>
                <a:pt x="0" y="0"/>
              </a:moveTo>
              <a:lnTo>
                <a:pt x="0" y="63579"/>
              </a:lnTo>
              <a:lnTo>
                <a:pt x="362806" y="63579"/>
              </a:lnTo>
              <a:lnTo>
                <a:pt x="362806" y="1271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283A356-7898-4FFE-8B50-6FA2258CC574}">
      <dsp:nvSpPr>
        <dsp:cNvPr id="0" name=""/>
        <dsp:cNvSpPr/>
      </dsp:nvSpPr>
      <dsp:spPr>
        <a:xfrm>
          <a:off x="749562"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1037488" y="2690203"/>
          <a:ext cx="352645" cy="127158"/>
        </a:xfrm>
        <a:custGeom>
          <a:avLst/>
          <a:gdLst/>
          <a:ahLst/>
          <a:cxnLst/>
          <a:rect l="0" t="0" r="0" b="0"/>
          <a:pathLst>
            <a:path>
              <a:moveTo>
                <a:pt x="352645" y="0"/>
              </a:moveTo>
              <a:lnTo>
                <a:pt x="352645" y="63579"/>
              </a:lnTo>
              <a:lnTo>
                <a:pt x="0" y="63579"/>
              </a:lnTo>
              <a:lnTo>
                <a:pt x="0" y="1271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3EDB683-E294-4AA8-865E-A34149A45E7B}">
      <dsp:nvSpPr>
        <dsp:cNvPr id="0" name=""/>
        <dsp:cNvSpPr/>
      </dsp:nvSpPr>
      <dsp:spPr>
        <a:xfrm>
          <a:off x="16889" y="3120119"/>
          <a:ext cx="91440" cy="1138368"/>
        </a:xfrm>
        <a:custGeom>
          <a:avLst/>
          <a:gdLst/>
          <a:ahLst/>
          <a:cxnLst/>
          <a:rect l="0" t="0" r="0" b="0"/>
          <a:pathLst>
            <a:path>
              <a:moveTo>
                <a:pt x="45720" y="0"/>
              </a:moveTo>
              <a:lnTo>
                <a:pt x="45720" y="1138368"/>
              </a:lnTo>
              <a:lnTo>
                <a:pt x="136547" y="113836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08BDE50-7763-40E4-9D62-749F9B612003}">
      <dsp:nvSpPr>
        <dsp:cNvPr id="0" name=""/>
        <dsp:cNvSpPr/>
      </dsp:nvSpPr>
      <dsp:spPr>
        <a:xfrm>
          <a:off x="16889" y="3120119"/>
          <a:ext cx="91440" cy="708452"/>
        </a:xfrm>
        <a:custGeom>
          <a:avLst/>
          <a:gdLst/>
          <a:ahLst/>
          <a:cxnLst/>
          <a:rect l="0" t="0" r="0" b="0"/>
          <a:pathLst>
            <a:path>
              <a:moveTo>
                <a:pt x="45720" y="0"/>
              </a:moveTo>
              <a:lnTo>
                <a:pt x="45720" y="708452"/>
              </a:lnTo>
              <a:lnTo>
                <a:pt x="136547" y="70845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215BC5C-EF28-46E3-9D29-189760EA6127}">
      <dsp:nvSpPr>
        <dsp:cNvPr id="0" name=""/>
        <dsp:cNvSpPr/>
      </dsp:nvSpPr>
      <dsp:spPr>
        <a:xfrm>
          <a:off x="16889" y="3120119"/>
          <a:ext cx="91440" cy="278536"/>
        </a:xfrm>
        <a:custGeom>
          <a:avLst/>
          <a:gdLst/>
          <a:ahLst/>
          <a:cxnLst/>
          <a:rect l="0" t="0" r="0" b="0"/>
          <a:pathLst>
            <a:path>
              <a:moveTo>
                <a:pt x="45720" y="0"/>
              </a:moveTo>
              <a:lnTo>
                <a:pt x="45720" y="278536"/>
              </a:lnTo>
              <a:lnTo>
                <a:pt x="136547" y="2785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304815" y="2690203"/>
          <a:ext cx="1085319" cy="127158"/>
        </a:xfrm>
        <a:custGeom>
          <a:avLst/>
          <a:gdLst/>
          <a:ahLst/>
          <a:cxnLst/>
          <a:rect l="0" t="0" r="0" b="0"/>
          <a:pathLst>
            <a:path>
              <a:moveTo>
                <a:pt x="1085319" y="0"/>
              </a:moveTo>
              <a:lnTo>
                <a:pt x="1085319" y="63579"/>
              </a:lnTo>
              <a:lnTo>
                <a:pt x="0" y="63579"/>
              </a:lnTo>
              <a:lnTo>
                <a:pt x="0" y="1271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1390134" y="1852579"/>
          <a:ext cx="6875096" cy="534866"/>
        </a:xfrm>
        <a:custGeom>
          <a:avLst/>
          <a:gdLst/>
          <a:ahLst/>
          <a:cxnLst/>
          <a:rect l="0" t="0" r="0" b="0"/>
          <a:pathLst>
            <a:path>
              <a:moveTo>
                <a:pt x="6875096" y="0"/>
              </a:moveTo>
              <a:lnTo>
                <a:pt x="6875096" y="471287"/>
              </a:lnTo>
              <a:lnTo>
                <a:pt x="0" y="471287"/>
              </a:lnTo>
              <a:lnTo>
                <a:pt x="0" y="53486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7810604" y="1462591"/>
          <a:ext cx="909253" cy="389988"/>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b="1" kern="1200"/>
            <a:t>Fast 'n' Cheap</a:t>
          </a:r>
        </a:p>
      </dsp:txBody>
      <dsp:txXfrm>
        <a:off x="7810604" y="1462591"/>
        <a:ext cx="909253" cy="389988"/>
      </dsp:txXfrm>
    </dsp:sp>
    <dsp:sp modelId="{4C9AEEA8-806B-4221-A8CF-497F84C39D63}">
      <dsp:nvSpPr>
        <dsp:cNvPr id="0" name=""/>
        <dsp:cNvSpPr/>
      </dsp:nvSpPr>
      <dsp:spPr>
        <a:xfrm>
          <a:off x="969982" y="2387446"/>
          <a:ext cx="840303"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Planejamento do Projeto</a:t>
          </a:r>
        </a:p>
      </dsp:txBody>
      <dsp:txXfrm>
        <a:off x="969982" y="2387446"/>
        <a:ext cx="840303" cy="302757"/>
      </dsp:txXfrm>
    </dsp:sp>
    <dsp:sp modelId="{9E9FE827-52A4-46D9-ADB2-E6FCF0B9E008}">
      <dsp:nvSpPr>
        <dsp:cNvPr id="0" name=""/>
        <dsp:cNvSpPr/>
      </dsp:nvSpPr>
      <dsp:spPr>
        <a:xfrm>
          <a:off x="2057"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Levantamento do escopo</a:t>
          </a:r>
        </a:p>
      </dsp:txBody>
      <dsp:txXfrm>
        <a:off x="2057" y="2817361"/>
        <a:ext cx="605515" cy="302757"/>
      </dsp:txXfrm>
    </dsp:sp>
    <dsp:sp modelId="{79BC1533-D80B-400B-9906-B028A22E2881}">
      <dsp:nvSpPr>
        <dsp:cNvPr id="0" name=""/>
        <dsp:cNvSpPr/>
      </dsp:nvSpPr>
      <dsp:spPr>
        <a:xfrm>
          <a:off x="153436"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Definir requisitos</a:t>
          </a:r>
        </a:p>
      </dsp:txBody>
      <dsp:txXfrm>
        <a:off x="153436" y="3247277"/>
        <a:ext cx="605515" cy="302757"/>
      </dsp:txXfrm>
    </dsp:sp>
    <dsp:sp modelId="{DE9B3B8C-E94A-4323-BD39-0F71D93BF605}">
      <dsp:nvSpPr>
        <dsp:cNvPr id="0" name=""/>
        <dsp:cNvSpPr/>
      </dsp:nvSpPr>
      <dsp:spPr>
        <a:xfrm>
          <a:off x="153436"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Estabelecer objetivos do projeto</a:t>
          </a:r>
        </a:p>
      </dsp:txBody>
      <dsp:txXfrm>
        <a:off x="153436" y="3677193"/>
        <a:ext cx="605515" cy="302757"/>
      </dsp:txXfrm>
    </dsp:sp>
    <dsp:sp modelId="{1AC9D135-5D83-4305-8BBE-31B08A84BDBD}">
      <dsp:nvSpPr>
        <dsp:cNvPr id="0" name=""/>
        <dsp:cNvSpPr/>
      </dsp:nvSpPr>
      <dsp:spPr>
        <a:xfrm>
          <a:off x="153436" y="4107108"/>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Documentação do projeto</a:t>
          </a:r>
        </a:p>
      </dsp:txBody>
      <dsp:txXfrm>
        <a:off x="153436" y="4107108"/>
        <a:ext cx="605515" cy="302757"/>
      </dsp:txXfrm>
    </dsp:sp>
    <dsp:sp modelId="{CF1CE0D6-2000-45B7-B412-882350AF6F25}">
      <dsp:nvSpPr>
        <dsp:cNvPr id="0" name=""/>
        <dsp:cNvSpPr/>
      </dsp:nvSpPr>
      <dsp:spPr>
        <a:xfrm>
          <a:off x="734731"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Montar estutura da equipe</a:t>
          </a:r>
        </a:p>
      </dsp:txBody>
      <dsp:txXfrm>
        <a:off x="734731" y="2817361"/>
        <a:ext cx="605515" cy="302757"/>
      </dsp:txXfrm>
    </dsp:sp>
    <dsp:sp modelId="{C5CAB220-082C-4CFE-A0E8-A1D29E7FD8E3}">
      <dsp:nvSpPr>
        <dsp:cNvPr id="0" name=""/>
        <dsp:cNvSpPr/>
      </dsp:nvSpPr>
      <dsp:spPr>
        <a:xfrm>
          <a:off x="886109"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Distribuir responsabilidades</a:t>
          </a:r>
        </a:p>
      </dsp:txBody>
      <dsp:txXfrm>
        <a:off x="886109" y="3247277"/>
        <a:ext cx="605515" cy="302757"/>
      </dsp:txXfrm>
    </dsp:sp>
    <dsp:sp modelId="{422A5DCC-F310-4179-AC5C-3A5AA9AB3509}">
      <dsp:nvSpPr>
        <dsp:cNvPr id="0" name=""/>
        <dsp:cNvSpPr/>
      </dsp:nvSpPr>
      <dsp:spPr>
        <a:xfrm>
          <a:off x="1450183"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Definir cronograma</a:t>
          </a:r>
        </a:p>
      </dsp:txBody>
      <dsp:txXfrm>
        <a:off x="1450183" y="2817361"/>
        <a:ext cx="605515" cy="302757"/>
      </dsp:txXfrm>
    </dsp:sp>
    <dsp:sp modelId="{2DFFEEBC-2405-41F6-B859-471D8D802CB3}">
      <dsp:nvSpPr>
        <dsp:cNvPr id="0" name=""/>
        <dsp:cNvSpPr/>
      </dsp:nvSpPr>
      <dsp:spPr>
        <a:xfrm>
          <a:off x="2200077"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Gestão de risco</a:t>
          </a:r>
        </a:p>
      </dsp:txBody>
      <dsp:txXfrm>
        <a:off x="2200077" y="2817361"/>
        <a:ext cx="605515" cy="302757"/>
      </dsp:txXfrm>
    </dsp:sp>
    <dsp:sp modelId="{CAB5E8BB-F7BB-4348-AFDC-2A5F7C1BB986}">
      <dsp:nvSpPr>
        <dsp:cNvPr id="0" name=""/>
        <dsp:cNvSpPr/>
      </dsp:nvSpPr>
      <dsp:spPr>
        <a:xfrm>
          <a:off x="2351456"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Plano de mitigação</a:t>
          </a:r>
        </a:p>
      </dsp:txBody>
      <dsp:txXfrm>
        <a:off x="2351456" y="3247277"/>
        <a:ext cx="605515" cy="302757"/>
      </dsp:txXfrm>
    </dsp:sp>
    <dsp:sp modelId="{D170E32D-A43F-4CAB-A215-C289F970862B}">
      <dsp:nvSpPr>
        <dsp:cNvPr id="0" name=""/>
        <dsp:cNvSpPr/>
      </dsp:nvSpPr>
      <dsp:spPr>
        <a:xfrm>
          <a:off x="3451801" y="2380952"/>
          <a:ext cx="1032760"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Levantamento dos Dados para o Uso de IA</a:t>
          </a:r>
        </a:p>
      </dsp:txBody>
      <dsp:txXfrm>
        <a:off x="3451801" y="2380952"/>
        <a:ext cx="1032760" cy="302757"/>
      </dsp:txXfrm>
    </dsp:sp>
    <dsp:sp modelId="{8D28DA9C-651E-493C-AEB4-8DE7C4670A76}">
      <dsp:nvSpPr>
        <dsp:cNvPr id="0" name=""/>
        <dsp:cNvSpPr/>
      </dsp:nvSpPr>
      <dsp:spPr>
        <a:xfrm>
          <a:off x="2932750"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Escolher fonte principal dos dados</a:t>
          </a:r>
        </a:p>
      </dsp:txBody>
      <dsp:txXfrm>
        <a:off x="2932750" y="2817361"/>
        <a:ext cx="605515" cy="302757"/>
      </dsp:txXfrm>
    </dsp:sp>
    <dsp:sp modelId="{2215E6B3-FD2D-4FB4-BA09-966BC7F5FF2B}">
      <dsp:nvSpPr>
        <dsp:cNvPr id="0" name=""/>
        <dsp:cNvSpPr/>
      </dsp:nvSpPr>
      <dsp:spPr>
        <a:xfrm>
          <a:off x="3084129"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Recolher BD dos aplicativos de corrida</a:t>
          </a:r>
        </a:p>
      </dsp:txBody>
      <dsp:txXfrm>
        <a:off x="3084129" y="3247277"/>
        <a:ext cx="605515" cy="302757"/>
      </dsp:txXfrm>
    </dsp:sp>
    <dsp:sp modelId="{72AC346F-2F4E-444E-8C03-BD2A3B5A48DE}">
      <dsp:nvSpPr>
        <dsp:cNvPr id="0" name=""/>
        <dsp:cNvSpPr/>
      </dsp:nvSpPr>
      <dsp:spPr>
        <a:xfrm>
          <a:off x="3665423"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Extrair informações</a:t>
          </a:r>
        </a:p>
      </dsp:txBody>
      <dsp:txXfrm>
        <a:off x="3665423" y="2817361"/>
        <a:ext cx="605515" cy="302757"/>
      </dsp:txXfrm>
    </dsp:sp>
    <dsp:sp modelId="{AB59BE87-9633-4FD2-BBA5-1E2B6A37B44D}">
      <dsp:nvSpPr>
        <dsp:cNvPr id="0" name=""/>
        <dsp:cNvSpPr/>
      </dsp:nvSpPr>
      <dsp:spPr>
        <a:xfrm>
          <a:off x="3816802"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Automatizar a coleta de dados</a:t>
          </a:r>
        </a:p>
      </dsp:txBody>
      <dsp:txXfrm>
        <a:off x="3816802" y="3247277"/>
        <a:ext cx="605515" cy="302757"/>
      </dsp:txXfrm>
    </dsp:sp>
    <dsp:sp modelId="{3E475BB6-47FF-4890-865F-481414FB60B9}">
      <dsp:nvSpPr>
        <dsp:cNvPr id="0" name=""/>
        <dsp:cNvSpPr/>
      </dsp:nvSpPr>
      <dsp:spPr>
        <a:xfrm>
          <a:off x="4398096"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Qualificação do dados</a:t>
          </a:r>
        </a:p>
      </dsp:txBody>
      <dsp:txXfrm>
        <a:off x="4398096" y="2817361"/>
        <a:ext cx="605515" cy="302757"/>
      </dsp:txXfrm>
    </dsp:sp>
    <dsp:sp modelId="{7FD83118-2C2B-4B0B-808F-38851C921700}">
      <dsp:nvSpPr>
        <dsp:cNvPr id="0" name=""/>
        <dsp:cNvSpPr/>
      </dsp:nvSpPr>
      <dsp:spPr>
        <a:xfrm>
          <a:off x="4549475"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Limpeza do dados</a:t>
          </a:r>
        </a:p>
      </dsp:txBody>
      <dsp:txXfrm>
        <a:off x="4549475" y="3247277"/>
        <a:ext cx="605515" cy="302757"/>
      </dsp:txXfrm>
    </dsp:sp>
    <dsp:sp modelId="{E941135A-1407-47D1-B469-646C76E82807}">
      <dsp:nvSpPr>
        <dsp:cNvPr id="0" name=""/>
        <dsp:cNvSpPr/>
      </dsp:nvSpPr>
      <dsp:spPr>
        <a:xfrm>
          <a:off x="4549475"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Padronização das informações</a:t>
          </a:r>
        </a:p>
      </dsp:txBody>
      <dsp:txXfrm>
        <a:off x="4549475" y="3677193"/>
        <a:ext cx="605515" cy="302757"/>
      </dsp:txXfrm>
    </dsp:sp>
    <dsp:sp modelId="{5368EF9E-E26F-497A-B704-8C2CE5D835FD}">
      <dsp:nvSpPr>
        <dsp:cNvPr id="0" name=""/>
        <dsp:cNvSpPr/>
      </dsp:nvSpPr>
      <dsp:spPr>
        <a:xfrm>
          <a:off x="5763506" y="2380952"/>
          <a:ext cx="805389"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Desenvolvimento do Algoritmo IA</a:t>
          </a:r>
        </a:p>
      </dsp:txBody>
      <dsp:txXfrm>
        <a:off x="5763506" y="2380952"/>
        <a:ext cx="805389" cy="302757"/>
      </dsp:txXfrm>
    </dsp:sp>
    <dsp:sp modelId="{5A797B3D-506B-475C-A5BD-53CB96B71636}">
      <dsp:nvSpPr>
        <dsp:cNvPr id="0" name=""/>
        <dsp:cNvSpPr/>
      </dsp:nvSpPr>
      <dsp:spPr>
        <a:xfrm>
          <a:off x="5130770"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Escolher modelo de machine learning</a:t>
          </a:r>
        </a:p>
      </dsp:txBody>
      <dsp:txXfrm>
        <a:off x="5130770" y="2817361"/>
        <a:ext cx="605515" cy="302757"/>
      </dsp:txXfrm>
    </dsp:sp>
    <dsp:sp modelId="{6EEDBC22-0172-4D63-B345-F0F2B1AD6B01}">
      <dsp:nvSpPr>
        <dsp:cNvPr id="0" name=""/>
        <dsp:cNvSpPr/>
      </dsp:nvSpPr>
      <dsp:spPr>
        <a:xfrm>
          <a:off x="5282148"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Decidir entre modelos supervisionados ou não</a:t>
          </a:r>
        </a:p>
      </dsp:txBody>
      <dsp:txXfrm>
        <a:off x="5282148" y="3247277"/>
        <a:ext cx="605515" cy="302757"/>
      </dsp:txXfrm>
    </dsp:sp>
    <dsp:sp modelId="{B2D1F2E2-96F0-44D8-A8A7-B8DE86A3C79D}">
      <dsp:nvSpPr>
        <dsp:cNvPr id="0" name=""/>
        <dsp:cNvSpPr/>
      </dsp:nvSpPr>
      <dsp:spPr>
        <a:xfrm>
          <a:off x="5282148"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Comparar redes neurais e modelos estáticos</a:t>
          </a:r>
        </a:p>
      </dsp:txBody>
      <dsp:txXfrm>
        <a:off x="5282148" y="3677193"/>
        <a:ext cx="605515" cy="302757"/>
      </dsp:txXfrm>
    </dsp:sp>
    <dsp:sp modelId="{F15F62B6-22D0-48F7-9F58-1C264B09AC2E}">
      <dsp:nvSpPr>
        <dsp:cNvPr id="0" name=""/>
        <dsp:cNvSpPr/>
      </dsp:nvSpPr>
      <dsp:spPr>
        <a:xfrm>
          <a:off x="5282148" y="4107108"/>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Analisar impacto do modelo no objetivo do projeto</a:t>
          </a:r>
        </a:p>
      </dsp:txBody>
      <dsp:txXfrm>
        <a:off x="5282148" y="4107108"/>
        <a:ext cx="605515" cy="302757"/>
      </dsp:txXfrm>
    </dsp:sp>
    <dsp:sp modelId="{D5417EFD-1356-4DC1-914D-15DEA5738108}">
      <dsp:nvSpPr>
        <dsp:cNvPr id="0" name=""/>
        <dsp:cNvSpPr/>
      </dsp:nvSpPr>
      <dsp:spPr>
        <a:xfrm>
          <a:off x="5282148" y="4537024"/>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Selecionar modelo final</a:t>
          </a:r>
        </a:p>
      </dsp:txBody>
      <dsp:txXfrm>
        <a:off x="5282148" y="4537024"/>
        <a:ext cx="605515" cy="302757"/>
      </dsp:txXfrm>
    </dsp:sp>
    <dsp:sp modelId="{E9ED0A35-CF48-40AC-AEA5-7CC07D1B8C49}">
      <dsp:nvSpPr>
        <dsp:cNvPr id="0" name=""/>
        <dsp:cNvSpPr/>
      </dsp:nvSpPr>
      <dsp:spPr>
        <a:xfrm>
          <a:off x="5863443"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Treinamento</a:t>
          </a:r>
        </a:p>
      </dsp:txBody>
      <dsp:txXfrm>
        <a:off x="5863443" y="2817361"/>
        <a:ext cx="605515" cy="302757"/>
      </dsp:txXfrm>
    </dsp:sp>
    <dsp:sp modelId="{E40FCE65-D2BB-409C-BE43-09744F70A1CA}">
      <dsp:nvSpPr>
        <dsp:cNvPr id="0" name=""/>
        <dsp:cNvSpPr/>
      </dsp:nvSpPr>
      <dsp:spPr>
        <a:xfrm>
          <a:off x="6014822"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Separar dados para o treinamento</a:t>
          </a:r>
        </a:p>
      </dsp:txBody>
      <dsp:txXfrm>
        <a:off x="6014822" y="3247277"/>
        <a:ext cx="605515" cy="302757"/>
      </dsp:txXfrm>
    </dsp:sp>
    <dsp:sp modelId="{FF4A6981-C3D6-43AD-95FE-CA13BFFA25FC}">
      <dsp:nvSpPr>
        <dsp:cNvPr id="0" name=""/>
        <dsp:cNvSpPr/>
      </dsp:nvSpPr>
      <dsp:spPr>
        <a:xfrm>
          <a:off x="6014822"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Testar balanceamento</a:t>
          </a:r>
        </a:p>
      </dsp:txBody>
      <dsp:txXfrm>
        <a:off x="6014822" y="3677193"/>
        <a:ext cx="605515" cy="302757"/>
      </dsp:txXfrm>
    </dsp:sp>
    <dsp:sp modelId="{C5B34D5D-43DB-45E5-92C5-34FCE8FD1F7F}">
      <dsp:nvSpPr>
        <dsp:cNvPr id="0" name=""/>
        <dsp:cNvSpPr/>
      </dsp:nvSpPr>
      <dsp:spPr>
        <a:xfrm>
          <a:off x="6014822" y="4107108"/>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Realizar multiplos testes</a:t>
          </a:r>
        </a:p>
      </dsp:txBody>
      <dsp:txXfrm>
        <a:off x="6014822" y="4107108"/>
        <a:ext cx="605515" cy="302757"/>
      </dsp:txXfrm>
    </dsp:sp>
    <dsp:sp modelId="{9914FC13-98B1-4335-96F8-D75C198BD29D}">
      <dsp:nvSpPr>
        <dsp:cNvPr id="0" name=""/>
        <dsp:cNvSpPr/>
      </dsp:nvSpPr>
      <dsp:spPr>
        <a:xfrm>
          <a:off x="6014822" y="4537024"/>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Comparar resultados</a:t>
          </a:r>
        </a:p>
      </dsp:txBody>
      <dsp:txXfrm>
        <a:off x="6014822" y="4537024"/>
        <a:ext cx="605515" cy="302757"/>
      </dsp:txXfrm>
    </dsp:sp>
    <dsp:sp modelId="{C9AE5414-0CA3-433A-B2DC-C8106DB10739}">
      <dsp:nvSpPr>
        <dsp:cNvPr id="0" name=""/>
        <dsp:cNvSpPr/>
      </dsp:nvSpPr>
      <dsp:spPr>
        <a:xfrm>
          <a:off x="6596116"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Ajustes do Algoritmo</a:t>
          </a:r>
        </a:p>
      </dsp:txBody>
      <dsp:txXfrm>
        <a:off x="6596116" y="2817361"/>
        <a:ext cx="605515" cy="302757"/>
      </dsp:txXfrm>
    </dsp:sp>
    <dsp:sp modelId="{8CC792A2-A4B3-4272-8DBB-0D26D7D4FAC3}">
      <dsp:nvSpPr>
        <dsp:cNvPr id="0" name=""/>
        <dsp:cNvSpPr/>
      </dsp:nvSpPr>
      <dsp:spPr>
        <a:xfrm>
          <a:off x="6747495"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Comparar algoritmo com a referencia inicial</a:t>
          </a:r>
        </a:p>
      </dsp:txBody>
      <dsp:txXfrm>
        <a:off x="6747495" y="3247277"/>
        <a:ext cx="605515" cy="302757"/>
      </dsp:txXfrm>
    </dsp:sp>
    <dsp:sp modelId="{FC353450-B9CF-4B7D-BA30-5C233F217A35}">
      <dsp:nvSpPr>
        <dsp:cNvPr id="0" name=""/>
        <dsp:cNvSpPr/>
      </dsp:nvSpPr>
      <dsp:spPr>
        <a:xfrm>
          <a:off x="6747495"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Verificar precisão</a:t>
          </a:r>
        </a:p>
      </dsp:txBody>
      <dsp:txXfrm>
        <a:off x="6747495" y="3677193"/>
        <a:ext cx="605515" cy="302757"/>
      </dsp:txXfrm>
    </dsp:sp>
    <dsp:sp modelId="{05C53B3B-5032-49C8-9040-4853AED28940}">
      <dsp:nvSpPr>
        <dsp:cNvPr id="0" name=""/>
        <dsp:cNvSpPr/>
      </dsp:nvSpPr>
      <dsp:spPr>
        <a:xfrm>
          <a:off x="6747495" y="4107108"/>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Otimizar código do algoritmo</a:t>
          </a:r>
        </a:p>
      </dsp:txBody>
      <dsp:txXfrm>
        <a:off x="6747495" y="4107108"/>
        <a:ext cx="605515" cy="302757"/>
      </dsp:txXfrm>
    </dsp:sp>
    <dsp:sp modelId="{0BF99F41-2B36-4860-856E-9B912562371F}">
      <dsp:nvSpPr>
        <dsp:cNvPr id="0" name=""/>
        <dsp:cNvSpPr/>
      </dsp:nvSpPr>
      <dsp:spPr>
        <a:xfrm>
          <a:off x="8026606" y="2380952"/>
          <a:ext cx="1407901"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Desenvolvimento da Plataforma  e Interface do Usuário</a:t>
          </a:r>
        </a:p>
      </dsp:txBody>
      <dsp:txXfrm>
        <a:off x="8026606" y="2380952"/>
        <a:ext cx="1407901" cy="302757"/>
      </dsp:txXfrm>
    </dsp:sp>
    <dsp:sp modelId="{101E7089-2CFC-4D90-BD60-75732AD7334A}">
      <dsp:nvSpPr>
        <dsp:cNvPr id="0" name=""/>
        <dsp:cNvSpPr/>
      </dsp:nvSpPr>
      <dsp:spPr>
        <a:xfrm>
          <a:off x="7328789"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Definir arquitetura do projeto</a:t>
          </a:r>
        </a:p>
      </dsp:txBody>
      <dsp:txXfrm>
        <a:off x="7328789" y="2817361"/>
        <a:ext cx="605515" cy="302757"/>
      </dsp:txXfrm>
    </dsp:sp>
    <dsp:sp modelId="{D2B32FE8-B300-4E27-B7E2-297F3F999D4E}">
      <dsp:nvSpPr>
        <dsp:cNvPr id="0" name=""/>
        <dsp:cNvSpPr/>
      </dsp:nvSpPr>
      <dsp:spPr>
        <a:xfrm>
          <a:off x="8061462"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Prototipar design UI e UX</a:t>
          </a:r>
        </a:p>
      </dsp:txBody>
      <dsp:txXfrm>
        <a:off x="8061462" y="2817361"/>
        <a:ext cx="605515" cy="302757"/>
      </dsp:txXfrm>
    </dsp:sp>
    <dsp:sp modelId="{A4D5862A-33B6-4E40-9661-9A38D1C236D5}">
      <dsp:nvSpPr>
        <dsp:cNvPr id="0" name=""/>
        <dsp:cNvSpPr/>
      </dsp:nvSpPr>
      <dsp:spPr>
        <a:xfrm>
          <a:off x="8212841"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Realizar Sketchs</a:t>
          </a:r>
        </a:p>
      </dsp:txBody>
      <dsp:txXfrm>
        <a:off x="8212841" y="3247277"/>
        <a:ext cx="605515" cy="302757"/>
      </dsp:txXfrm>
    </dsp:sp>
    <dsp:sp modelId="{309445BE-4DB4-477B-A761-9CCADF42348C}">
      <dsp:nvSpPr>
        <dsp:cNvPr id="0" name=""/>
        <dsp:cNvSpPr/>
      </dsp:nvSpPr>
      <dsp:spPr>
        <a:xfrm>
          <a:off x="8794135"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Desenvolver Frontend</a:t>
          </a:r>
        </a:p>
      </dsp:txBody>
      <dsp:txXfrm>
        <a:off x="8794135" y="2817361"/>
        <a:ext cx="605515" cy="302757"/>
      </dsp:txXfrm>
    </dsp:sp>
    <dsp:sp modelId="{FBFB7893-C4BF-4C23-A1C7-990539E4794F}">
      <dsp:nvSpPr>
        <dsp:cNvPr id="0" name=""/>
        <dsp:cNvSpPr/>
      </dsp:nvSpPr>
      <dsp:spPr>
        <a:xfrm>
          <a:off x="8945514"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Desenvolver aplicativo mobile</a:t>
          </a:r>
        </a:p>
      </dsp:txBody>
      <dsp:txXfrm>
        <a:off x="8945514" y="3247277"/>
        <a:ext cx="605515" cy="302757"/>
      </dsp:txXfrm>
    </dsp:sp>
    <dsp:sp modelId="{E3A63C86-20A4-432A-9BD3-977E025AAEB1}">
      <dsp:nvSpPr>
        <dsp:cNvPr id="0" name=""/>
        <dsp:cNvSpPr/>
      </dsp:nvSpPr>
      <dsp:spPr>
        <a:xfrm>
          <a:off x="9526809"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Integrar com algoritmo IA</a:t>
          </a:r>
        </a:p>
      </dsp:txBody>
      <dsp:txXfrm>
        <a:off x="9526809" y="2817361"/>
        <a:ext cx="605515" cy="302757"/>
      </dsp:txXfrm>
    </dsp:sp>
    <dsp:sp modelId="{B5EA85A1-AF03-424D-862B-4F7C13829B51}">
      <dsp:nvSpPr>
        <dsp:cNvPr id="0" name=""/>
        <dsp:cNvSpPr/>
      </dsp:nvSpPr>
      <dsp:spPr>
        <a:xfrm>
          <a:off x="9678187"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Conexão com APIs</a:t>
          </a:r>
        </a:p>
      </dsp:txBody>
      <dsp:txXfrm>
        <a:off x="9678187" y="3247277"/>
        <a:ext cx="605515" cy="302757"/>
      </dsp:txXfrm>
    </dsp:sp>
    <dsp:sp modelId="{953DEB0D-6844-4FE8-9CFA-7CC4A83A54C9}">
      <dsp:nvSpPr>
        <dsp:cNvPr id="0" name=""/>
        <dsp:cNvSpPr/>
      </dsp:nvSpPr>
      <dsp:spPr>
        <a:xfrm>
          <a:off x="9678187"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Exibir resultados do algoritmo ao usuario</a:t>
          </a:r>
        </a:p>
      </dsp:txBody>
      <dsp:txXfrm>
        <a:off x="9678187" y="3677193"/>
        <a:ext cx="605515" cy="302757"/>
      </dsp:txXfrm>
    </dsp:sp>
    <dsp:sp modelId="{3A2A1C1F-CABC-4C98-B728-F262323AA994}">
      <dsp:nvSpPr>
        <dsp:cNvPr id="0" name=""/>
        <dsp:cNvSpPr/>
      </dsp:nvSpPr>
      <dsp:spPr>
        <a:xfrm>
          <a:off x="10148756" y="2380952"/>
          <a:ext cx="1048418"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Testes de Sistema</a:t>
          </a:r>
        </a:p>
      </dsp:txBody>
      <dsp:txXfrm>
        <a:off x="10148756" y="2380952"/>
        <a:ext cx="1048418" cy="302757"/>
      </dsp:txXfrm>
    </dsp:sp>
    <dsp:sp modelId="{6BAFA004-7462-4BB3-8CF7-8F0FAE532698}">
      <dsp:nvSpPr>
        <dsp:cNvPr id="0" name=""/>
        <dsp:cNvSpPr/>
      </dsp:nvSpPr>
      <dsp:spPr>
        <a:xfrm>
          <a:off x="10410861"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 unitário</a:t>
          </a:r>
        </a:p>
      </dsp:txBody>
      <dsp:txXfrm>
        <a:off x="10410861" y="2817361"/>
        <a:ext cx="605515" cy="302757"/>
      </dsp:txXfrm>
    </dsp:sp>
    <dsp:sp modelId="{05B68185-236D-47CF-8CA2-C40EC5C940CF}">
      <dsp:nvSpPr>
        <dsp:cNvPr id="0" name=""/>
        <dsp:cNvSpPr/>
      </dsp:nvSpPr>
      <dsp:spPr>
        <a:xfrm>
          <a:off x="10410861"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 de integração</a:t>
          </a:r>
        </a:p>
      </dsp:txBody>
      <dsp:txXfrm>
        <a:off x="10410861" y="3247277"/>
        <a:ext cx="605515" cy="302757"/>
      </dsp:txXfrm>
    </dsp:sp>
    <dsp:sp modelId="{0CE7C8B4-F8E6-429D-8C4A-73E9D60DCB81}">
      <dsp:nvSpPr>
        <dsp:cNvPr id="0" name=""/>
        <dsp:cNvSpPr/>
      </dsp:nvSpPr>
      <dsp:spPr>
        <a:xfrm>
          <a:off x="10410861"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 de performance</a:t>
          </a:r>
        </a:p>
      </dsp:txBody>
      <dsp:txXfrm>
        <a:off x="10410861" y="3677193"/>
        <a:ext cx="605515" cy="302757"/>
      </dsp:txXfrm>
    </dsp:sp>
    <dsp:sp modelId="{96B847E9-F4CD-4024-8601-19585B6BC0D2}">
      <dsp:nvSpPr>
        <dsp:cNvPr id="0" name=""/>
        <dsp:cNvSpPr/>
      </dsp:nvSpPr>
      <dsp:spPr>
        <a:xfrm>
          <a:off x="10410861" y="4107108"/>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 end to end</a:t>
          </a:r>
        </a:p>
      </dsp:txBody>
      <dsp:txXfrm>
        <a:off x="10410861" y="4107108"/>
        <a:ext cx="605515" cy="302757"/>
      </dsp:txXfrm>
    </dsp:sp>
    <dsp:sp modelId="{9A681887-5350-4EBE-BD43-C7E4297AB1BB}">
      <dsp:nvSpPr>
        <dsp:cNvPr id="0" name=""/>
        <dsp:cNvSpPr/>
      </dsp:nvSpPr>
      <dsp:spPr>
        <a:xfrm>
          <a:off x="11324333" y="2380952"/>
          <a:ext cx="919595"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Marketing e Divulgação</a:t>
          </a:r>
        </a:p>
      </dsp:txBody>
      <dsp:txXfrm>
        <a:off x="11324333" y="2380952"/>
        <a:ext cx="919595" cy="302757"/>
      </dsp:txXfrm>
    </dsp:sp>
    <dsp:sp modelId="{95AB15AE-8608-4DA9-9783-4C1883CF8B60}">
      <dsp:nvSpPr>
        <dsp:cNvPr id="0" name=""/>
        <dsp:cNvSpPr/>
      </dsp:nvSpPr>
      <dsp:spPr>
        <a:xfrm>
          <a:off x="11554232"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Montar estratégia de lançamento</a:t>
          </a:r>
        </a:p>
      </dsp:txBody>
      <dsp:txXfrm>
        <a:off x="11554232" y="2817361"/>
        <a:ext cx="605515" cy="302757"/>
      </dsp:txXfrm>
    </dsp:sp>
    <dsp:sp modelId="{2F3B11AF-65A0-4367-BB88-1A7C587F296A}">
      <dsp:nvSpPr>
        <dsp:cNvPr id="0" name=""/>
        <dsp:cNvSpPr/>
      </dsp:nvSpPr>
      <dsp:spPr>
        <a:xfrm>
          <a:off x="11554232"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Selecionar possiveis parcerias</a:t>
          </a:r>
        </a:p>
      </dsp:txBody>
      <dsp:txXfrm>
        <a:off x="11554232" y="3247277"/>
        <a:ext cx="605515" cy="302757"/>
      </dsp:txXfrm>
    </dsp:sp>
    <dsp:sp modelId="{6A725167-5E4B-4D53-AD0B-C2B31AE53EF1}">
      <dsp:nvSpPr>
        <dsp:cNvPr id="0" name=""/>
        <dsp:cNvSpPr/>
      </dsp:nvSpPr>
      <dsp:spPr>
        <a:xfrm>
          <a:off x="11554232"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Aplicar campanha de divulgação</a:t>
          </a:r>
        </a:p>
      </dsp:txBody>
      <dsp:txXfrm>
        <a:off x="11554232" y="3677193"/>
        <a:ext cx="605515" cy="302757"/>
      </dsp:txXfrm>
    </dsp:sp>
    <dsp:sp modelId="{36F65EB3-A93B-4BDE-AD59-D991F66D50DB}">
      <dsp:nvSpPr>
        <dsp:cNvPr id="0" name=""/>
        <dsp:cNvSpPr/>
      </dsp:nvSpPr>
      <dsp:spPr>
        <a:xfrm>
          <a:off x="12371087" y="2380952"/>
          <a:ext cx="864197"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Lançamento</a:t>
          </a:r>
        </a:p>
      </dsp:txBody>
      <dsp:txXfrm>
        <a:off x="12371087" y="2380952"/>
        <a:ext cx="864197" cy="302757"/>
      </dsp:txXfrm>
    </dsp:sp>
    <dsp:sp modelId="{9563F0A0-D35D-4845-9E8F-55A791EA7313}">
      <dsp:nvSpPr>
        <dsp:cNvPr id="0" name=""/>
        <dsp:cNvSpPr/>
      </dsp:nvSpPr>
      <dsp:spPr>
        <a:xfrm>
          <a:off x="12587136"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Testar aceitação do usuarios</a:t>
          </a:r>
        </a:p>
      </dsp:txBody>
      <dsp:txXfrm>
        <a:off x="12587136" y="2817361"/>
        <a:ext cx="605515" cy="302757"/>
      </dsp:txXfrm>
    </dsp:sp>
    <dsp:sp modelId="{6AC8738B-E57D-49B9-A184-8CA9A4FA1296}">
      <dsp:nvSpPr>
        <dsp:cNvPr id="0" name=""/>
        <dsp:cNvSpPr/>
      </dsp:nvSpPr>
      <dsp:spPr>
        <a:xfrm>
          <a:off x="12587136"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Atualização day 1</a:t>
          </a:r>
        </a:p>
      </dsp:txBody>
      <dsp:txXfrm>
        <a:off x="12587136" y="3247277"/>
        <a:ext cx="605515" cy="302757"/>
      </dsp:txXfrm>
    </dsp:sp>
    <dsp:sp modelId="{66215115-E87F-416B-87DA-9B997A3EC349}">
      <dsp:nvSpPr>
        <dsp:cNvPr id="0" name=""/>
        <dsp:cNvSpPr/>
      </dsp:nvSpPr>
      <dsp:spPr>
        <a:xfrm>
          <a:off x="13345354" y="2380952"/>
          <a:ext cx="851390"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Monitoramento</a:t>
          </a:r>
        </a:p>
      </dsp:txBody>
      <dsp:txXfrm>
        <a:off x="13345354" y="2380952"/>
        <a:ext cx="851390" cy="302757"/>
      </dsp:txXfrm>
    </dsp:sp>
    <dsp:sp modelId="{8EBC19D9-6641-4E8A-8D3E-E158CAFD8B8E}">
      <dsp:nvSpPr>
        <dsp:cNvPr id="0" name=""/>
        <dsp:cNvSpPr/>
      </dsp:nvSpPr>
      <dsp:spPr>
        <a:xfrm>
          <a:off x="13575290"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Levantamento de feedback</a:t>
          </a:r>
        </a:p>
      </dsp:txBody>
      <dsp:txXfrm>
        <a:off x="13575290" y="2817361"/>
        <a:ext cx="605515" cy="302757"/>
      </dsp:txXfrm>
    </dsp:sp>
    <dsp:sp modelId="{0CA3CF39-25FD-4EA1-A7B0-BF6B8D245D33}">
      <dsp:nvSpPr>
        <dsp:cNvPr id="0" name=""/>
        <dsp:cNvSpPr/>
      </dsp:nvSpPr>
      <dsp:spPr>
        <a:xfrm>
          <a:off x="13575290"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Suporte inicial</a:t>
          </a:r>
        </a:p>
      </dsp:txBody>
      <dsp:txXfrm>
        <a:off x="13575290" y="3247277"/>
        <a:ext cx="605515" cy="302757"/>
      </dsp:txXfrm>
    </dsp:sp>
    <dsp:sp modelId="{5D92E2B7-A3E1-4909-BB39-66BB32FBB9E1}">
      <dsp:nvSpPr>
        <dsp:cNvPr id="0" name=""/>
        <dsp:cNvSpPr/>
      </dsp:nvSpPr>
      <dsp:spPr>
        <a:xfrm>
          <a:off x="13575290" y="3677193"/>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Aplicar mudanças baseados nos feedbacks de usuário</a:t>
          </a:r>
        </a:p>
      </dsp:txBody>
      <dsp:txXfrm>
        <a:off x="13575290" y="3677193"/>
        <a:ext cx="605515" cy="302757"/>
      </dsp:txXfrm>
    </dsp:sp>
    <dsp:sp modelId="{9A7C5AEB-3E05-469A-95FE-22BE39540AE1}">
      <dsp:nvSpPr>
        <dsp:cNvPr id="0" name=""/>
        <dsp:cNvSpPr/>
      </dsp:nvSpPr>
      <dsp:spPr>
        <a:xfrm>
          <a:off x="14323903" y="2380952"/>
          <a:ext cx="1280191" cy="3027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pt-BR" sz="700" b="1" kern="1200"/>
            <a:t>Aperfeiçoamento</a:t>
          </a:r>
        </a:p>
      </dsp:txBody>
      <dsp:txXfrm>
        <a:off x="14323903" y="2380952"/>
        <a:ext cx="1280191" cy="302757"/>
      </dsp:txXfrm>
    </dsp:sp>
    <dsp:sp modelId="{9C833CA3-79E2-4D8E-9A5F-BCE8BC3D1FE0}">
      <dsp:nvSpPr>
        <dsp:cNvPr id="0" name=""/>
        <dsp:cNvSpPr/>
      </dsp:nvSpPr>
      <dsp:spPr>
        <a:xfrm>
          <a:off x="14661039" y="2817361"/>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Ajustes baseando-se em dados coletados</a:t>
          </a:r>
        </a:p>
      </dsp:txBody>
      <dsp:txXfrm>
        <a:off x="14661039" y="2817361"/>
        <a:ext cx="605515" cy="302757"/>
      </dsp:txXfrm>
    </dsp:sp>
    <dsp:sp modelId="{D8FF565D-208D-4B4A-9112-1B9757F98831}">
      <dsp:nvSpPr>
        <dsp:cNvPr id="0" name=""/>
        <dsp:cNvSpPr/>
      </dsp:nvSpPr>
      <dsp:spPr>
        <a:xfrm>
          <a:off x="14661039" y="3247277"/>
          <a:ext cx="605515" cy="3027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Melhoria contínua</a:t>
          </a:r>
        </a:p>
      </dsp:txBody>
      <dsp:txXfrm>
        <a:off x="14661039" y="3247277"/>
        <a:ext cx="605515" cy="302757"/>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17</xdr:col>
      <xdr:colOff>77061</xdr:colOff>
      <xdr:row>45</xdr:row>
      <xdr:rowOff>143799</xdr:rowOff>
    </xdr:to>
    <xdr:pic>
      <xdr:nvPicPr>
        <xdr:cNvPr id="2" name="Imagem 1">
          <a:extLst>
            <a:ext uri="{FF2B5EF4-FFF2-40B4-BE49-F238E27FC236}">
              <a16:creationId xmlns:a16="http://schemas.microsoft.com/office/drawing/2014/main" id="{5F90D4FF-CDCE-4A2C-9B0A-49B763B216FD}"/>
            </a:ext>
          </a:extLst>
        </xdr:cNvPr>
        <xdr:cNvPicPr>
          <a:picLocks noChangeAspect="1"/>
        </xdr:cNvPicPr>
      </xdr:nvPicPr>
      <xdr:blipFill>
        <a:blip xmlns:r="http://schemas.openxmlformats.org/officeDocument/2006/relationships" r:embed="rId1"/>
        <a:stretch>
          <a:fillRect/>
        </a:stretch>
      </xdr:blipFill>
      <xdr:spPr>
        <a:xfrm>
          <a:off x="4267200" y="809625"/>
          <a:ext cx="6173061" cy="6620799"/>
        </a:xfrm>
        <a:prstGeom prst="rect">
          <a:avLst/>
        </a:prstGeom>
      </xdr:spPr>
    </xdr:pic>
    <xdr:clientData/>
  </xdr:twoCellAnchor>
  <xdr:twoCellAnchor editAs="oneCell">
    <xdr:from>
      <xdr:col>7</xdr:col>
      <xdr:colOff>466725</xdr:colOff>
      <xdr:row>46</xdr:row>
      <xdr:rowOff>138734</xdr:rowOff>
    </xdr:from>
    <xdr:to>
      <xdr:col>15</xdr:col>
      <xdr:colOff>219075</xdr:colOff>
      <xdr:row>83</xdr:row>
      <xdr:rowOff>10317</xdr:rowOff>
    </xdr:to>
    <xdr:pic>
      <xdr:nvPicPr>
        <xdr:cNvPr id="3" name="Imagem 2">
          <a:extLst>
            <a:ext uri="{FF2B5EF4-FFF2-40B4-BE49-F238E27FC236}">
              <a16:creationId xmlns:a16="http://schemas.microsoft.com/office/drawing/2014/main" id="{0FB953DE-EF9A-4070-BB2B-80F3B348AD8A}"/>
            </a:ext>
          </a:extLst>
        </xdr:cNvPr>
        <xdr:cNvPicPr>
          <a:picLocks noChangeAspect="1"/>
        </xdr:cNvPicPr>
      </xdr:nvPicPr>
      <xdr:blipFill>
        <a:blip xmlns:r="http://schemas.openxmlformats.org/officeDocument/2006/relationships" r:embed="rId2"/>
        <a:stretch>
          <a:fillRect/>
        </a:stretch>
      </xdr:blipFill>
      <xdr:spPr>
        <a:xfrm>
          <a:off x="4733925" y="7587284"/>
          <a:ext cx="4629150" cy="5862808"/>
        </a:xfrm>
        <a:prstGeom prst="rect">
          <a:avLst/>
        </a:prstGeom>
      </xdr:spPr>
    </xdr:pic>
    <xdr:clientData/>
  </xdr:twoCellAnchor>
  <xdr:twoCellAnchor editAs="oneCell">
    <xdr:from>
      <xdr:col>8</xdr:col>
      <xdr:colOff>0</xdr:colOff>
      <xdr:row>86</xdr:row>
      <xdr:rowOff>0</xdr:rowOff>
    </xdr:from>
    <xdr:to>
      <xdr:col>17</xdr:col>
      <xdr:colOff>391345</xdr:colOff>
      <xdr:row>112</xdr:row>
      <xdr:rowOff>19640</xdr:rowOff>
    </xdr:to>
    <xdr:pic>
      <xdr:nvPicPr>
        <xdr:cNvPr id="9" name="Imagem 8">
          <a:extLst>
            <a:ext uri="{FF2B5EF4-FFF2-40B4-BE49-F238E27FC236}">
              <a16:creationId xmlns:a16="http://schemas.microsoft.com/office/drawing/2014/main" id="{E0C2E8DE-1DB4-4AF0-96DC-9A433E9766C9}"/>
            </a:ext>
          </a:extLst>
        </xdr:cNvPr>
        <xdr:cNvPicPr>
          <a:picLocks noChangeAspect="1"/>
        </xdr:cNvPicPr>
      </xdr:nvPicPr>
      <xdr:blipFill>
        <a:blip xmlns:r="http://schemas.openxmlformats.org/officeDocument/2006/relationships" r:embed="rId3"/>
        <a:stretch>
          <a:fillRect/>
        </a:stretch>
      </xdr:blipFill>
      <xdr:spPr>
        <a:xfrm>
          <a:off x="4876800" y="13925550"/>
          <a:ext cx="5877745" cy="4229690"/>
        </a:xfrm>
        <a:prstGeom prst="rect">
          <a:avLst/>
        </a:prstGeom>
      </xdr:spPr>
    </xdr:pic>
    <xdr:clientData/>
  </xdr:twoCellAnchor>
  <xdr:twoCellAnchor editAs="oneCell">
    <xdr:from>
      <xdr:col>8</xdr:col>
      <xdr:colOff>0</xdr:colOff>
      <xdr:row>114</xdr:row>
      <xdr:rowOff>0</xdr:rowOff>
    </xdr:from>
    <xdr:to>
      <xdr:col>17</xdr:col>
      <xdr:colOff>353240</xdr:colOff>
      <xdr:row>149</xdr:row>
      <xdr:rowOff>29370</xdr:rowOff>
    </xdr:to>
    <xdr:pic>
      <xdr:nvPicPr>
        <xdr:cNvPr id="10" name="Imagem 9">
          <a:extLst>
            <a:ext uri="{FF2B5EF4-FFF2-40B4-BE49-F238E27FC236}">
              <a16:creationId xmlns:a16="http://schemas.microsoft.com/office/drawing/2014/main" id="{AD750301-A789-420B-B2C7-12A6D7F646D2}"/>
            </a:ext>
          </a:extLst>
        </xdr:cNvPr>
        <xdr:cNvPicPr>
          <a:picLocks noChangeAspect="1"/>
        </xdr:cNvPicPr>
      </xdr:nvPicPr>
      <xdr:blipFill>
        <a:blip xmlns:r="http://schemas.openxmlformats.org/officeDocument/2006/relationships" r:embed="rId4"/>
        <a:stretch>
          <a:fillRect/>
        </a:stretch>
      </xdr:blipFill>
      <xdr:spPr>
        <a:xfrm>
          <a:off x="4876800" y="18459450"/>
          <a:ext cx="5839640" cy="56967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428625</xdr:colOff>
      <xdr:row>2</xdr:row>
      <xdr:rowOff>57149</xdr:rowOff>
    </xdr:from>
    <xdr:to>
      <xdr:col>26</xdr:col>
      <xdr:colOff>542925</xdr:colOff>
      <xdr:row>39</xdr:row>
      <xdr:rowOff>133349</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13607</xdr:colOff>
      <xdr:row>0</xdr:row>
      <xdr:rowOff>0</xdr:rowOff>
    </xdr:from>
    <xdr:to>
      <xdr:col>2</xdr:col>
      <xdr:colOff>53662</xdr:colOff>
      <xdr:row>6</xdr:row>
      <xdr:rowOff>11300</xdr:rowOff>
    </xdr:to>
    <xdr:pic>
      <xdr:nvPicPr>
        <xdr:cNvPr id="2" name="Imagem 1" descr="Logotipo De Saúde E Bem Estar Design De Logotipo De Centro ...">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9720" y="0"/>
          <a:ext cx="630336" cy="1095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137583</xdr:colOff>
      <xdr:row>0</xdr:row>
      <xdr:rowOff>35835</xdr:rowOff>
    </xdr:from>
    <xdr:to>
      <xdr:col>1</xdr:col>
      <xdr:colOff>677335</xdr:colOff>
      <xdr:row>5</xdr:row>
      <xdr:rowOff>11102</xdr:rowOff>
    </xdr:to>
    <xdr:pic>
      <xdr:nvPicPr>
        <xdr:cNvPr id="2" name="Imagem 1" descr="Logotipo De Saúde E Bem Estar Design De Logotipo De Centro ...">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70416" y="35835"/>
          <a:ext cx="539752" cy="821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I29"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E1" workbookViewId="0">
      <selection activeCell="T128" sqref="T128"/>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topLeftCell="A4" zoomScale="85" zoomScaleNormal="85" workbookViewId="0">
      <selection activeCell="J1" sqref="J1"/>
    </sheetView>
  </sheetViews>
  <sheetFormatPr defaultRowHeight="12.75" x14ac:dyDescent="0.2"/>
  <cols>
    <col min="1" max="1" width="3" customWidth="1"/>
    <col min="2" max="2" width="14.7109375" customWidth="1"/>
  </cols>
  <sheetData>
    <row r="1" spans="1:24" ht="16.5" x14ac:dyDescent="0.25">
      <c r="B1" s="4"/>
      <c r="Q1" s="23"/>
    </row>
    <row r="2" spans="1:24" ht="16.5" x14ac:dyDescent="0.25">
      <c r="B2" s="4"/>
      <c r="Q2" s="23"/>
    </row>
    <row r="3" spans="1:24" ht="26.25" customHeight="1" x14ac:dyDescent="0.4">
      <c r="A3" s="115"/>
      <c r="B3" s="115"/>
      <c r="C3" s="26"/>
      <c r="D3" s="26"/>
      <c r="E3" s="26"/>
      <c r="F3" s="26"/>
      <c r="G3" s="26"/>
      <c r="H3" s="26"/>
      <c r="I3" s="26"/>
      <c r="J3" s="26"/>
      <c r="K3" s="26"/>
      <c r="L3" s="26"/>
      <c r="M3" s="26"/>
      <c r="N3" s="26"/>
      <c r="O3" s="26"/>
      <c r="P3" s="26"/>
      <c r="Q3" s="26"/>
      <c r="R3" s="26"/>
      <c r="S3" s="26"/>
      <c r="T3" s="26"/>
      <c r="U3" s="26"/>
    </row>
    <row r="4" spans="1:24" ht="26.25" customHeight="1" x14ac:dyDescent="0.4">
      <c r="A4" s="24"/>
      <c r="B4" s="24"/>
      <c r="C4" s="25"/>
      <c r="D4" s="25"/>
      <c r="E4" s="25"/>
      <c r="F4" s="25"/>
      <c r="G4" s="25"/>
      <c r="H4" s="25"/>
      <c r="I4" s="25"/>
      <c r="J4" s="25"/>
      <c r="K4" s="25"/>
      <c r="L4" s="25"/>
      <c r="M4" s="25"/>
      <c r="N4" s="25"/>
      <c r="O4" s="25"/>
      <c r="P4" s="25"/>
      <c r="Q4" s="25"/>
      <c r="R4" s="25"/>
      <c r="S4" s="25"/>
      <c r="T4" s="25"/>
      <c r="U4" s="25"/>
    </row>
    <row r="16" spans="1:24" ht="15" x14ac:dyDescent="0.2">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x14ac:dyDescent="0.2">
      <c r="B17" s="23"/>
      <c r="C17" s="23"/>
      <c r="D17" s="23"/>
      <c r="E17" s="23"/>
      <c r="F17" s="23"/>
      <c r="G17" s="23"/>
      <c r="H17" s="23"/>
      <c r="I17" s="23"/>
      <c r="J17" s="23"/>
      <c r="K17" s="23"/>
      <c r="L17" s="23"/>
      <c r="M17" s="23"/>
      <c r="N17" s="23"/>
      <c r="O17" s="23"/>
      <c r="P17" s="23"/>
      <c r="Q17" s="23"/>
      <c r="R17" s="23"/>
      <c r="S17" s="23"/>
      <c r="T17" s="23"/>
      <c r="U17" s="23"/>
      <c r="V17" s="23"/>
      <c r="W17" s="23"/>
      <c r="X17" s="23"/>
      <c r="Y17" s="27"/>
    </row>
    <row r="18" spans="2:25" ht="15" x14ac:dyDescent="0.2">
      <c r="B18" s="23"/>
      <c r="C18" s="23"/>
      <c r="D18" s="23"/>
      <c r="E18" s="23"/>
      <c r="F18" s="23"/>
      <c r="G18" s="23"/>
      <c r="H18" s="23"/>
      <c r="I18" s="23"/>
      <c r="J18" s="23"/>
      <c r="K18" s="23"/>
      <c r="L18" s="23"/>
      <c r="M18" s="23"/>
      <c r="N18" s="23"/>
      <c r="O18" s="23"/>
      <c r="P18" s="23"/>
      <c r="Q18" s="23"/>
      <c r="R18" s="23"/>
      <c r="S18" s="23"/>
      <c r="T18" s="23"/>
      <c r="U18" s="23"/>
      <c r="V18" s="23"/>
      <c r="W18" s="23"/>
      <c r="X18" s="23"/>
      <c r="Y18" s="27"/>
    </row>
    <row r="19" spans="2:25" ht="15" x14ac:dyDescent="0.2">
      <c r="B19" s="23"/>
      <c r="C19" s="23"/>
      <c r="D19" s="23"/>
      <c r="E19" s="23"/>
      <c r="F19" s="23"/>
      <c r="G19" s="23"/>
      <c r="H19" s="23"/>
      <c r="I19" s="23"/>
      <c r="J19" s="23"/>
      <c r="K19" s="23"/>
      <c r="L19" s="23"/>
      <c r="M19" s="23"/>
      <c r="N19" s="23"/>
      <c r="O19" s="23"/>
      <c r="P19" s="23"/>
      <c r="Q19" s="23"/>
      <c r="R19" s="23"/>
      <c r="S19" s="23"/>
      <c r="T19" s="23"/>
      <c r="U19" s="23"/>
      <c r="V19" s="23"/>
      <c r="W19" s="23"/>
      <c r="X19" s="23"/>
      <c r="Y19" s="27"/>
    </row>
    <row r="20" spans="2:25" ht="15" x14ac:dyDescent="0.2">
      <c r="B20" s="23"/>
      <c r="C20" s="23"/>
      <c r="D20" s="23"/>
      <c r="E20" s="23"/>
      <c r="F20" s="23"/>
      <c r="G20" s="23"/>
      <c r="H20" s="23"/>
      <c r="I20" s="23"/>
      <c r="J20" s="23"/>
      <c r="K20" s="23"/>
      <c r="L20" s="23"/>
      <c r="M20" s="23"/>
      <c r="N20" s="23"/>
      <c r="O20" s="23"/>
      <c r="P20" s="23"/>
      <c r="Q20" s="23"/>
      <c r="R20" s="23"/>
      <c r="S20" s="23"/>
      <c r="T20" s="23"/>
      <c r="U20" s="23"/>
      <c r="V20" s="23"/>
      <c r="W20" s="23"/>
      <c r="X20" s="23"/>
      <c r="Y20" s="27"/>
    </row>
    <row r="21" spans="2:25" ht="15" x14ac:dyDescent="0.2">
      <c r="B21" s="23"/>
      <c r="C21" s="23"/>
      <c r="D21" s="23"/>
      <c r="E21" s="23"/>
      <c r="F21" s="23"/>
      <c r="G21" s="23"/>
      <c r="H21" s="23"/>
      <c r="I21" s="23"/>
      <c r="J21" s="23"/>
      <c r="K21" s="23"/>
      <c r="L21" s="23"/>
      <c r="M21" s="23"/>
      <c r="N21" s="23"/>
      <c r="O21" s="23"/>
      <c r="P21" s="23"/>
      <c r="Q21" s="23"/>
      <c r="R21" s="23"/>
      <c r="S21" s="23"/>
      <c r="T21" s="23"/>
      <c r="U21" s="23"/>
      <c r="V21" s="23"/>
      <c r="W21" s="23"/>
      <c r="X21" s="23"/>
      <c r="Y21" s="27"/>
    </row>
    <row r="22" spans="2:25" ht="15" x14ac:dyDescent="0.2">
      <c r="B22" s="23"/>
      <c r="C22" s="23"/>
      <c r="D22" s="23"/>
      <c r="E22" s="23"/>
      <c r="F22" s="23"/>
      <c r="G22" s="23"/>
      <c r="H22" s="23"/>
      <c r="I22" s="23"/>
      <c r="J22" s="23"/>
      <c r="K22" s="23"/>
      <c r="L22" s="23"/>
      <c r="M22" s="23"/>
      <c r="N22" s="23"/>
      <c r="O22" s="23"/>
      <c r="P22" s="23"/>
      <c r="Q22" s="23"/>
      <c r="R22" s="23"/>
      <c r="S22" s="23"/>
      <c r="T22" s="23"/>
      <c r="U22" s="23"/>
      <c r="V22" s="23"/>
      <c r="W22" s="23"/>
      <c r="X22" s="23"/>
      <c r="Y22" s="27"/>
    </row>
    <row r="23" spans="2:25" ht="15" x14ac:dyDescent="0.2">
      <c r="B23" s="23"/>
      <c r="C23" s="23"/>
      <c r="D23" s="23"/>
      <c r="E23" s="23"/>
      <c r="F23" s="23"/>
      <c r="G23" s="23"/>
      <c r="H23" s="23"/>
      <c r="I23" s="23"/>
      <c r="J23" s="23"/>
      <c r="K23" s="23"/>
      <c r="L23" s="23"/>
      <c r="M23" s="23"/>
      <c r="N23" s="23"/>
      <c r="O23" s="23"/>
      <c r="P23" s="23"/>
      <c r="Q23" s="23"/>
      <c r="R23" s="23"/>
      <c r="S23" s="23"/>
      <c r="T23" s="23"/>
      <c r="U23" s="23"/>
      <c r="V23" s="23"/>
      <c r="W23" s="23"/>
      <c r="X23" s="23"/>
      <c r="Y23" s="27"/>
    </row>
    <row r="24" spans="2:25" ht="15" x14ac:dyDescent="0.2">
      <c r="B24" s="23"/>
      <c r="C24" s="23"/>
      <c r="D24" s="23"/>
      <c r="E24" s="23"/>
      <c r="F24" s="23"/>
      <c r="G24" s="23"/>
      <c r="H24" s="23"/>
      <c r="I24" s="23"/>
      <c r="J24" s="23"/>
      <c r="K24" s="23"/>
      <c r="L24" s="23"/>
      <c r="M24" s="23"/>
      <c r="N24" s="23"/>
      <c r="O24" s="23"/>
      <c r="P24" s="23"/>
      <c r="Q24" s="23"/>
      <c r="R24" s="23"/>
      <c r="S24" s="23"/>
      <c r="T24" s="23"/>
      <c r="U24" s="23"/>
      <c r="V24" s="23"/>
      <c r="W24" s="23"/>
      <c r="X24" s="23"/>
      <c r="Y24" s="27"/>
    </row>
    <row r="25" spans="2:25" ht="15" x14ac:dyDescent="0.2">
      <c r="B25" s="23"/>
      <c r="C25" s="23"/>
      <c r="D25" s="23"/>
      <c r="E25" s="23"/>
      <c r="F25" s="23"/>
      <c r="G25" s="23"/>
      <c r="H25" s="23"/>
      <c r="I25" s="23"/>
      <c r="J25" s="23"/>
      <c r="K25" s="23"/>
      <c r="L25" s="23"/>
      <c r="M25" s="23"/>
      <c r="N25" s="23"/>
      <c r="O25" s="23"/>
      <c r="P25" s="23"/>
      <c r="Q25" s="23"/>
      <c r="R25" s="23"/>
      <c r="S25" s="23"/>
      <c r="T25" s="23"/>
      <c r="U25" s="23"/>
      <c r="V25" s="23"/>
      <c r="W25" s="23"/>
      <c r="X25" s="23"/>
      <c r="Y25" s="27"/>
    </row>
    <row r="26" spans="2:25" ht="15" x14ac:dyDescent="0.2">
      <c r="B26" s="23"/>
      <c r="C26" s="23"/>
      <c r="D26" s="23"/>
      <c r="E26" s="23"/>
      <c r="F26" s="23"/>
      <c r="G26" s="23"/>
      <c r="H26" s="23"/>
      <c r="I26" s="23"/>
      <c r="J26" s="23"/>
      <c r="K26" s="23"/>
      <c r="L26" s="23"/>
      <c r="M26" s="23"/>
      <c r="N26" s="23"/>
      <c r="O26" s="23"/>
      <c r="P26" s="23"/>
      <c r="Q26" s="23"/>
      <c r="R26" s="23"/>
      <c r="S26" s="23"/>
      <c r="T26" s="23"/>
      <c r="U26" s="23"/>
      <c r="V26" s="23"/>
      <c r="W26" s="23"/>
      <c r="X26" s="23"/>
      <c r="Y26" s="27"/>
    </row>
    <row r="27" spans="2:25" ht="15" x14ac:dyDescent="0.2">
      <c r="B27" s="23"/>
      <c r="C27" s="23"/>
      <c r="D27" s="23"/>
      <c r="E27" s="23"/>
      <c r="F27" s="23"/>
      <c r="G27" s="23"/>
      <c r="H27" s="23"/>
      <c r="I27" s="23"/>
      <c r="J27" s="23"/>
      <c r="K27" s="23"/>
      <c r="L27" s="23"/>
      <c r="M27" s="23"/>
      <c r="N27" s="23"/>
      <c r="O27" s="23"/>
      <c r="P27" s="23"/>
      <c r="Q27" s="23"/>
      <c r="R27" s="23"/>
      <c r="S27" s="23"/>
      <c r="T27" s="23"/>
      <c r="U27" s="23"/>
      <c r="V27" s="23"/>
      <c r="W27" s="23"/>
      <c r="X27" s="23"/>
      <c r="Y27" s="27"/>
    </row>
    <row r="28" spans="2:25" ht="15" x14ac:dyDescent="0.2">
      <c r="B28" s="23"/>
      <c r="C28" s="23"/>
      <c r="D28" s="23"/>
      <c r="E28" s="23"/>
      <c r="F28" s="23"/>
      <c r="G28" s="23"/>
      <c r="H28" s="23"/>
      <c r="I28" s="23"/>
      <c r="J28" s="23"/>
      <c r="K28" s="23"/>
      <c r="L28" s="23"/>
      <c r="M28" s="23"/>
      <c r="N28" s="23"/>
      <c r="O28" s="23"/>
      <c r="P28" s="23"/>
      <c r="Q28" s="23"/>
      <c r="R28" s="23"/>
      <c r="S28" s="23"/>
      <c r="T28" s="23"/>
      <c r="U28" s="23"/>
      <c r="V28" s="23"/>
      <c r="W28" s="23"/>
      <c r="X28" s="23"/>
      <c r="Y28" s="27"/>
    </row>
    <row r="29" spans="2:25" ht="15" x14ac:dyDescent="0.2">
      <c r="B29" s="23"/>
      <c r="C29" s="23"/>
      <c r="D29" s="23"/>
      <c r="E29" s="23"/>
      <c r="F29" s="23"/>
      <c r="G29" s="23"/>
      <c r="H29" s="23"/>
      <c r="I29" s="23"/>
      <c r="J29" s="23"/>
      <c r="K29" s="23"/>
      <c r="L29" s="23"/>
      <c r="M29" s="23"/>
      <c r="N29" s="23"/>
      <c r="O29" s="23"/>
      <c r="P29" s="23"/>
      <c r="Q29" s="23"/>
      <c r="R29" s="23"/>
      <c r="S29" s="23"/>
      <c r="T29" s="23"/>
      <c r="U29" s="23"/>
      <c r="V29" s="23"/>
      <c r="W29" s="23"/>
      <c r="X29" s="23"/>
      <c r="Y29" s="27"/>
    </row>
    <row r="74" spans="2:4" x14ac:dyDescent="0.2">
      <c r="B74" s="22"/>
      <c r="C74" s="22"/>
      <c r="D74" s="22"/>
    </row>
    <row r="75" spans="2:4" x14ac:dyDescent="0.2">
      <c r="B75" s="22"/>
      <c r="C75" s="22"/>
      <c r="D75" s="22"/>
    </row>
    <row r="76" spans="2:4" x14ac:dyDescent="0.2">
      <c r="B76" s="2"/>
    </row>
    <row r="77" spans="2:4" x14ac:dyDescent="0.2">
      <c r="B77" s="2"/>
    </row>
    <row r="78" spans="2:4" x14ac:dyDescent="0.2">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2:P86"/>
  <sheetViews>
    <sheetView showGridLines="0" zoomScale="70" zoomScaleNormal="70" workbookViewId="0">
      <pane ySplit="9" topLeftCell="A10" activePane="bottomLeft" state="frozenSplit"/>
      <selection pane="bottomLeft" activeCell="C7" sqref="C7"/>
    </sheetView>
  </sheetViews>
  <sheetFormatPr defaultRowHeight="12.75" x14ac:dyDescent="0.2"/>
  <cols>
    <col min="1" max="1" width="3.42578125" customWidth="1"/>
    <col min="2" max="2" width="8.7109375" style="112" customWidth="1"/>
    <col min="3" max="3" width="94.7109375" style="107" customWidth="1"/>
    <col min="4" max="4" width="17" style="112" customWidth="1"/>
    <col min="5" max="5" width="15.42578125" style="1" customWidth="1"/>
    <col min="6" max="6" width="14.42578125" style="1" customWidth="1"/>
    <col min="7" max="7" width="21.7109375" style="106" customWidth="1"/>
    <col min="8" max="8" width="13.42578125" style="1" customWidth="1"/>
    <col min="9" max="9" width="22.7109375" style="1" bestFit="1" customWidth="1"/>
    <col min="10" max="10" width="12.5703125" customWidth="1"/>
    <col min="13" max="13" width="8.7109375" customWidth="1"/>
    <col min="14" max="14" width="46.140625" customWidth="1"/>
    <col min="15" max="15" width="56.42578125" customWidth="1"/>
    <col min="16" max="16" width="16" customWidth="1"/>
  </cols>
  <sheetData>
    <row r="2" spans="2:16" x14ac:dyDescent="0.2">
      <c r="C2" s="108"/>
    </row>
    <row r="3" spans="2:16" ht="18" x14ac:dyDescent="0.2">
      <c r="C3" s="110"/>
    </row>
    <row r="7" spans="2:16" ht="16.5" x14ac:dyDescent="0.2">
      <c r="B7" s="113" t="s">
        <v>49</v>
      </c>
    </row>
    <row r="8" spans="2:16" ht="13.5" thickBot="1" x14ac:dyDescent="0.25"/>
    <row r="9" spans="2:16" s="14" customFormat="1" ht="32.25" thickBot="1" x14ac:dyDescent="0.25">
      <c r="B9" s="135" t="s">
        <v>0</v>
      </c>
      <c r="C9" s="136" t="s">
        <v>51</v>
      </c>
      <c r="D9" s="137" t="s">
        <v>2</v>
      </c>
      <c r="E9" s="138" t="s">
        <v>28</v>
      </c>
      <c r="F9" s="139" t="s">
        <v>3</v>
      </c>
      <c r="G9" s="139" t="s">
        <v>4</v>
      </c>
      <c r="H9" s="139" t="s">
        <v>5</v>
      </c>
      <c r="I9" s="139" t="s">
        <v>31</v>
      </c>
      <c r="J9" s="140" t="s">
        <v>6</v>
      </c>
      <c r="M9" s="116" t="s">
        <v>186</v>
      </c>
      <c r="N9" s="117"/>
      <c r="O9" s="117"/>
      <c r="P9" s="118"/>
    </row>
    <row r="10" spans="2:16" s="8" customFormat="1" ht="31.9" customHeight="1" x14ac:dyDescent="0.2">
      <c r="B10" s="150">
        <v>1</v>
      </c>
      <c r="C10" s="150" t="s">
        <v>55</v>
      </c>
      <c r="D10" s="150" t="s">
        <v>13</v>
      </c>
      <c r="E10" s="150">
        <v>1</v>
      </c>
      <c r="F10" s="150" t="s">
        <v>188</v>
      </c>
      <c r="G10" s="150" t="s">
        <v>189</v>
      </c>
      <c r="H10" s="150" t="s">
        <v>48</v>
      </c>
      <c r="I10" s="151">
        <v>2500</v>
      </c>
      <c r="J10" s="142"/>
      <c r="M10" s="154"/>
      <c r="N10" s="155" t="s">
        <v>184</v>
      </c>
      <c r="O10" s="155" t="s">
        <v>2</v>
      </c>
      <c r="P10" s="156" t="s">
        <v>28</v>
      </c>
    </row>
    <row r="11" spans="2:16" s="8" customFormat="1" ht="22.5" customHeight="1" x14ac:dyDescent="0.2">
      <c r="B11" s="143" t="s">
        <v>11</v>
      </c>
      <c r="C11" s="143" t="s">
        <v>190</v>
      </c>
      <c r="D11" s="143">
        <v>1</v>
      </c>
      <c r="E11" s="143">
        <v>2</v>
      </c>
      <c r="F11" s="143" t="s">
        <v>191</v>
      </c>
      <c r="G11" s="143" t="s">
        <v>189</v>
      </c>
      <c r="H11" s="143" t="s">
        <v>48</v>
      </c>
      <c r="I11" s="144">
        <v>2500</v>
      </c>
      <c r="J11" s="141"/>
      <c r="M11" s="114">
        <v>1</v>
      </c>
      <c r="N11" s="114" t="s">
        <v>235</v>
      </c>
      <c r="O11" s="114" t="s">
        <v>183</v>
      </c>
      <c r="P11" s="114">
        <v>6</v>
      </c>
    </row>
    <row r="12" spans="2:16" s="8" customFormat="1" ht="27.75" customHeight="1" x14ac:dyDescent="0.2">
      <c r="B12" s="143" t="s">
        <v>14</v>
      </c>
      <c r="C12" s="143" t="s">
        <v>192</v>
      </c>
      <c r="D12" s="143" t="s">
        <v>11</v>
      </c>
      <c r="E12" s="143">
        <v>2</v>
      </c>
      <c r="F12" s="143" t="s">
        <v>193</v>
      </c>
      <c r="G12" s="143" t="s">
        <v>189</v>
      </c>
      <c r="H12" s="143" t="s">
        <v>48</v>
      </c>
      <c r="I12" s="144">
        <v>2000</v>
      </c>
      <c r="J12" s="143"/>
      <c r="M12" s="114">
        <v>2</v>
      </c>
      <c r="N12" s="114" t="s">
        <v>57</v>
      </c>
      <c r="O12" s="114" t="s">
        <v>55</v>
      </c>
      <c r="P12" s="114">
        <v>11</v>
      </c>
    </row>
    <row r="13" spans="2:16" s="8" customFormat="1" ht="28.5" customHeight="1" x14ac:dyDescent="0.2">
      <c r="B13" s="143" t="s">
        <v>15</v>
      </c>
      <c r="C13" s="143" t="s">
        <v>194</v>
      </c>
      <c r="D13" s="143" t="s">
        <v>14</v>
      </c>
      <c r="E13" s="143">
        <v>2</v>
      </c>
      <c r="F13" s="143" t="s">
        <v>195</v>
      </c>
      <c r="G13" s="143" t="s">
        <v>189</v>
      </c>
      <c r="H13" s="143" t="s">
        <v>48</v>
      </c>
      <c r="I13" s="144">
        <v>3200</v>
      </c>
      <c r="J13" s="143"/>
      <c r="M13" s="114">
        <v>3</v>
      </c>
      <c r="N13" s="114" t="s">
        <v>64</v>
      </c>
      <c r="O13" s="114" t="s">
        <v>55</v>
      </c>
      <c r="P13" s="114">
        <v>8</v>
      </c>
    </row>
    <row r="14" spans="2:16" s="8" customFormat="1" ht="31.5" x14ac:dyDescent="0.2">
      <c r="B14" s="150">
        <v>2</v>
      </c>
      <c r="C14" s="150" t="s">
        <v>57</v>
      </c>
      <c r="D14" s="150" t="s">
        <v>15</v>
      </c>
      <c r="E14" s="150">
        <v>2</v>
      </c>
      <c r="F14" s="150" t="s">
        <v>196</v>
      </c>
      <c r="G14" s="150" t="s">
        <v>189</v>
      </c>
      <c r="H14" s="150" t="s">
        <v>48</v>
      </c>
      <c r="I14" s="151">
        <v>7700</v>
      </c>
      <c r="J14" s="150"/>
      <c r="M14" s="114">
        <v>4</v>
      </c>
      <c r="N14" s="114" t="s">
        <v>72</v>
      </c>
      <c r="O14" s="114" t="s">
        <v>187</v>
      </c>
      <c r="P14" s="114">
        <v>11</v>
      </c>
    </row>
    <row r="15" spans="2:16" s="2" customFormat="1" ht="37.5" customHeight="1" x14ac:dyDescent="0.2">
      <c r="B15" s="143" t="s">
        <v>7</v>
      </c>
      <c r="C15" s="143" t="s">
        <v>197</v>
      </c>
      <c r="D15" s="143">
        <v>2</v>
      </c>
      <c r="E15" s="143">
        <v>2</v>
      </c>
      <c r="F15" s="143" t="s">
        <v>198</v>
      </c>
      <c r="G15" s="143" t="s">
        <v>199</v>
      </c>
      <c r="H15" s="143" t="s">
        <v>48</v>
      </c>
      <c r="I15" s="144">
        <v>2500</v>
      </c>
      <c r="J15" s="143"/>
      <c r="M15" s="114">
        <v>5</v>
      </c>
      <c r="N15" s="114" t="s">
        <v>236</v>
      </c>
      <c r="O15" s="114" t="s">
        <v>72</v>
      </c>
      <c r="P15" s="114">
        <v>5</v>
      </c>
    </row>
    <row r="16" spans="2:16" s="2" customFormat="1" ht="33" customHeight="1" x14ac:dyDescent="0.2">
      <c r="B16" s="143" t="s">
        <v>8</v>
      </c>
      <c r="C16" s="143" t="s">
        <v>200</v>
      </c>
      <c r="D16" s="143" t="s">
        <v>7</v>
      </c>
      <c r="E16" s="143">
        <v>2</v>
      </c>
      <c r="F16" s="143" t="s">
        <v>201</v>
      </c>
      <c r="G16" s="143" t="s">
        <v>202</v>
      </c>
      <c r="H16" s="143" t="s">
        <v>48</v>
      </c>
      <c r="I16" s="144">
        <v>3000</v>
      </c>
      <c r="J16" s="143"/>
      <c r="M16" s="114">
        <v>6</v>
      </c>
      <c r="N16" s="114" t="s">
        <v>221</v>
      </c>
      <c r="O16" s="114" t="s">
        <v>236</v>
      </c>
      <c r="P16" s="114">
        <v>3</v>
      </c>
    </row>
    <row r="17" spans="1:16" s="2" customFormat="1" ht="28.5" customHeight="1" x14ac:dyDescent="0.2">
      <c r="B17" s="152">
        <v>3</v>
      </c>
      <c r="C17" s="152" t="s">
        <v>64</v>
      </c>
      <c r="D17" s="152" t="s">
        <v>8</v>
      </c>
      <c r="E17" s="152">
        <v>3</v>
      </c>
      <c r="F17" s="152" t="s">
        <v>203</v>
      </c>
      <c r="G17" s="152" t="s">
        <v>204</v>
      </c>
      <c r="H17" s="152" t="s">
        <v>48</v>
      </c>
      <c r="I17" s="153">
        <v>5000</v>
      </c>
      <c r="J17" s="152"/>
      <c r="M17" s="114">
        <v>7</v>
      </c>
      <c r="N17" s="114" t="s">
        <v>229</v>
      </c>
      <c r="O17" s="114" t="s">
        <v>221</v>
      </c>
      <c r="P17" s="114">
        <v>6</v>
      </c>
    </row>
    <row r="18" spans="1:16" s="2" customFormat="1" ht="39" customHeight="1" x14ac:dyDescent="0.2">
      <c r="B18" s="143" t="s">
        <v>16</v>
      </c>
      <c r="C18" s="143" t="s">
        <v>205</v>
      </c>
      <c r="D18" s="143">
        <v>3</v>
      </c>
      <c r="E18" s="143">
        <v>2</v>
      </c>
      <c r="F18" s="143" t="s">
        <v>206</v>
      </c>
      <c r="G18" s="143" t="s">
        <v>207</v>
      </c>
      <c r="H18" s="143" t="s">
        <v>48</v>
      </c>
      <c r="I18" s="144">
        <v>4500</v>
      </c>
      <c r="J18" s="143"/>
      <c r="M18" s="114">
        <v>8</v>
      </c>
      <c r="N18" s="114" t="s">
        <v>108</v>
      </c>
      <c r="O18" s="114" t="s">
        <v>229</v>
      </c>
      <c r="P18" s="114">
        <v>6</v>
      </c>
    </row>
    <row r="19" spans="1:16" s="2" customFormat="1" ht="34.9" customHeight="1" x14ac:dyDescent="0.2">
      <c r="B19" s="143" t="s">
        <v>17</v>
      </c>
      <c r="C19" s="143" t="s">
        <v>208</v>
      </c>
      <c r="D19" s="143" t="s">
        <v>16</v>
      </c>
      <c r="E19" s="143">
        <v>1</v>
      </c>
      <c r="F19" s="143" t="s">
        <v>209</v>
      </c>
      <c r="G19" s="143" t="s">
        <v>210</v>
      </c>
      <c r="H19" s="143" t="s">
        <v>48</v>
      </c>
      <c r="I19" s="144">
        <v>3500</v>
      </c>
      <c r="J19" s="145"/>
      <c r="M19" s="114">
        <v>9</v>
      </c>
      <c r="N19" s="114" t="s">
        <v>233</v>
      </c>
      <c r="O19" s="114" t="s">
        <v>108</v>
      </c>
      <c r="P19" s="114" t="s">
        <v>234</v>
      </c>
    </row>
    <row r="20" spans="1:16" s="2" customFormat="1" ht="28.5" customHeight="1" x14ac:dyDescent="0.25">
      <c r="B20" s="152">
        <v>4</v>
      </c>
      <c r="C20" s="152" t="s">
        <v>72</v>
      </c>
      <c r="D20" s="152" t="s">
        <v>17</v>
      </c>
      <c r="E20" s="152">
        <v>6</v>
      </c>
      <c r="F20" s="152" t="s">
        <v>211</v>
      </c>
      <c r="G20" s="152" t="s">
        <v>212</v>
      </c>
      <c r="H20" s="152" t="s">
        <v>48</v>
      </c>
      <c r="I20" s="153">
        <v>20000</v>
      </c>
      <c r="J20" s="152"/>
      <c r="M20" s="157"/>
      <c r="N20" s="158"/>
      <c r="O20" s="158"/>
      <c r="P20" s="159"/>
    </row>
    <row r="21" spans="1:16" s="2" customFormat="1" ht="28.5" customHeight="1" x14ac:dyDescent="0.2">
      <c r="B21" s="143" t="s">
        <v>10</v>
      </c>
      <c r="C21" s="143" t="s">
        <v>213</v>
      </c>
      <c r="D21" s="143">
        <v>4</v>
      </c>
      <c r="E21" s="143">
        <v>3</v>
      </c>
      <c r="F21" s="143" t="s">
        <v>214</v>
      </c>
      <c r="G21" s="143" t="s">
        <v>215</v>
      </c>
      <c r="H21" s="143" t="s">
        <v>48</v>
      </c>
      <c r="I21" s="144">
        <v>10000</v>
      </c>
      <c r="J21" s="143"/>
      <c r="M21" s="8"/>
      <c r="N21" s="8"/>
      <c r="O21" s="8"/>
      <c r="P21" s="8"/>
    </row>
    <row r="22" spans="1:16" s="8" customFormat="1" ht="24" customHeight="1" x14ac:dyDescent="0.2">
      <c r="B22" s="143" t="s">
        <v>34</v>
      </c>
      <c r="C22" s="143" t="s">
        <v>216</v>
      </c>
      <c r="D22" s="143">
        <v>4</v>
      </c>
      <c r="E22" s="143">
        <v>3</v>
      </c>
      <c r="F22" s="143" t="s">
        <v>217</v>
      </c>
      <c r="G22" s="143" t="s">
        <v>218</v>
      </c>
      <c r="H22" s="143" t="s">
        <v>48</v>
      </c>
      <c r="I22" s="144">
        <v>10000</v>
      </c>
      <c r="J22" s="145"/>
      <c r="M22" s="2"/>
      <c r="N22" s="2"/>
      <c r="O22" s="2"/>
      <c r="P22" s="2"/>
    </row>
    <row r="23" spans="1:16" s="2" customFormat="1" ht="28.5" customHeight="1" x14ac:dyDescent="0.2">
      <c r="A23" s="2" t="s">
        <v>45</v>
      </c>
      <c r="B23" s="150">
        <v>5</v>
      </c>
      <c r="C23" s="150" t="s">
        <v>219</v>
      </c>
      <c r="D23" s="150" t="s">
        <v>34</v>
      </c>
      <c r="E23" s="150">
        <v>3</v>
      </c>
      <c r="F23" s="150" t="s">
        <v>220</v>
      </c>
      <c r="G23" s="150" t="s">
        <v>212</v>
      </c>
      <c r="H23" s="150" t="s">
        <v>48</v>
      </c>
      <c r="I23" s="151">
        <v>15000</v>
      </c>
      <c r="J23" s="150"/>
    </row>
    <row r="24" spans="1:16" s="2" customFormat="1" ht="28.5" customHeight="1" x14ac:dyDescent="0.2">
      <c r="B24" s="150">
        <v>6</v>
      </c>
      <c r="C24" s="150" t="s">
        <v>221</v>
      </c>
      <c r="D24" s="150">
        <v>5</v>
      </c>
      <c r="E24" s="150">
        <v>3</v>
      </c>
      <c r="F24" s="150" t="s">
        <v>222</v>
      </c>
      <c r="G24" s="150" t="s">
        <v>223</v>
      </c>
      <c r="H24" s="150" t="s">
        <v>48</v>
      </c>
      <c r="I24" s="151">
        <v>7500</v>
      </c>
      <c r="J24" s="150"/>
    </row>
    <row r="25" spans="1:16" s="2" customFormat="1" ht="28.5" customHeight="1" x14ac:dyDescent="0.2">
      <c r="B25" s="143" t="s">
        <v>90</v>
      </c>
      <c r="C25" s="143" t="s">
        <v>224</v>
      </c>
      <c r="D25" s="143">
        <v>6</v>
      </c>
      <c r="E25" s="143">
        <v>2</v>
      </c>
      <c r="F25" s="143" t="s">
        <v>225</v>
      </c>
      <c r="G25" s="143" t="s">
        <v>223</v>
      </c>
      <c r="H25" s="143" t="s">
        <v>48</v>
      </c>
      <c r="I25" s="144">
        <v>5000</v>
      </c>
      <c r="J25" s="143"/>
    </row>
    <row r="26" spans="1:16" s="2" customFormat="1" ht="28.5" customHeight="1" x14ac:dyDescent="0.2">
      <c r="A26" s="2" t="s">
        <v>45</v>
      </c>
      <c r="B26" s="143" t="s">
        <v>226</v>
      </c>
      <c r="C26" s="143" t="s">
        <v>227</v>
      </c>
      <c r="D26" s="143" t="s">
        <v>90</v>
      </c>
      <c r="E26" s="143">
        <v>2</v>
      </c>
      <c r="F26" s="143" t="s">
        <v>228</v>
      </c>
      <c r="G26" s="143" t="s">
        <v>223</v>
      </c>
      <c r="H26" s="143" t="s">
        <v>48</v>
      </c>
      <c r="I26" s="144">
        <v>5000</v>
      </c>
      <c r="J26" s="143"/>
    </row>
    <row r="27" spans="1:16" s="2" customFormat="1" ht="28.5" customHeight="1" x14ac:dyDescent="0.2">
      <c r="B27" s="150">
        <v>7</v>
      </c>
      <c r="C27" s="150" t="s">
        <v>229</v>
      </c>
      <c r="D27" s="150" t="s">
        <v>226</v>
      </c>
      <c r="E27" s="150">
        <v>2</v>
      </c>
      <c r="F27" s="150" t="s">
        <v>230</v>
      </c>
      <c r="G27" s="150" t="s">
        <v>189</v>
      </c>
      <c r="H27" s="150" t="s">
        <v>48</v>
      </c>
      <c r="I27" s="151">
        <v>6000</v>
      </c>
      <c r="J27" s="150"/>
      <c r="M27" s="8"/>
      <c r="N27" s="8"/>
      <c r="O27" s="8"/>
      <c r="P27" s="8"/>
    </row>
    <row r="28" spans="1:16" s="2" customFormat="1" ht="28.5" customHeight="1" x14ac:dyDescent="0.2">
      <c r="B28" s="150">
        <v>8</v>
      </c>
      <c r="C28" s="150" t="s">
        <v>108</v>
      </c>
      <c r="D28" s="150">
        <v>7</v>
      </c>
      <c r="E28" s="150">
        <v>3</v>
      </c>
      <c r="F28" s="150" t="s">
        <v>231</v>
      </c>
      <c r="G28" s="150" t="s">
        <v>232</v>
      </c>
      <c r="H28" s="150" t="s">
        <v>48</v>
      </c>
      <c r="I28" s="151">
        <v>10000</v>
      </c>
      <c r="J28" s="150"/>
    </row>
    <row r="29" spans="1:16" s="8" customFormat="1" ht="15.75" customHeight="1" x14ac:dyDescent="0.2">
      <c r="B29" s="150">
        <v>9</v>
      </c>
      <c r="C29" s="150" t="s">
        <v>233</v>
      </c>
      <c r="D29" s="150">
        <v>8</v>
      </c>
      <c r="E29" s="150" t="s">
        <v>234</v>
      </c>
      <c r="F29" s="150" t="s">
        <v>13</v>
      </c>
      <c r="G29" s="150" t="s">
        <v>212</v>
      </c>
      <c r="H29" s="150" t="s">
        <v>48</v>
      </c>
      <c r="I29" s="151">
        <v>15000</v>
      </c>
      <c r="J29" s="150"/>
      <c r="M29" s="2"/>
      <c r="N29" s="2"/>
      <c r="O29" s="2"/>
      <c r="P29" s="2"/>
    </row>
    <row r="30" spans="1:16" s="2" customFormat="1" ht="28.5" customHeight="1" x14ac:dyDescent="0.2">
      <c r="B30" s="146"/>
      <c r="C30" s="146"/>
      <c r="D30" s="147" t="s">
        <v>35</v>
      </c>
      <c r="E30" s="147"/>
      <c r="F30" s="147"/>
      <c r="G30" s="147"/>
      <c r="H30" s="147"/>
      <c r="I30" s="148">
        <f>SUM(I10:I29)</f>
        <v>139900</v>
      </c>
      <c r="J30" s="149"/>
    </row>
    <row r="31" spans="1:16" s="2" customFormat="1" ht="28.5" customHeight="1" x14ac:dyDescent="0.2">
      <c r="B31" s="112"/>
      <c r="C31" s="107"/>
      <c r="D31" s="112"/>
      <c r="E31" s="1"/>
      <c r="F31" s="1"/>
      <c r="G31" s="106"/>
      <c r="H31" s="1"/>
      <c r="I31" s="1"/>
      <c r="J31"/>
    </row>
    <row r="32" spans="1:16" s="2" customFormat="1" ht="28.5" customHeight="1" x14ac:dyDescent="0.2">
      <c r="B32" s="112"/>
      <c r="C32" s="107"/>
      <c r="D32" s="112"/>
      <c r="E32" s="1"/>
      <c r="F32" s="1"/>
      <c r="G32" s="106"/>
      <c r="H32" s="1"/>
      <c r="I32" s="1"/>
      <c r="J32"/>
    </row>
    <row r="33" spans="1:16" s="2" customFormat="1" ht="28.5" customHeight="1" x14ac:dyDescent="0.2">
      <c r="B33" s="112"/>
      <c r="C33" s="107"/>
      <c r="D33" s="112"/>
      <c r="E33" s="1"/>
      <c r="F33" s="1"/>
      <c r="G33" s="106"/>
      <c r="H33" s="1"/>
      <c r="I33" s="1"/>
      <c r="J33"/>
    </row>
    <row r="34" spans="1:16" s="2" customFormat="1" ht="28.5" customHeight="1" x14ac:dyDescent="0.2">
      <c r="B34" s="112"/>
      <c r="C34" s="107"/>
      <c r="D34" s="112"/>
      <c r="E34" s="1"/>
      <c r="F34" s="1"/>
      <c r="G34" s="106"/>
      <c r="H34" s="1"/>
      <c r="I34" s="1"/>
      <c r="J34"/>
    </row>
    <row r="35" spans="1:16" s="2" customFormat="1" ht="16.5" customHeight="1" x14ac:dyDescent="0.2">
      <c r="B35" s="112"/>
      <c r="C35" s="107"/>
      <c r="D35" s="112"/>
      <c r="E35" s="1"/>
      <c r="F35" s="1"/>
      <c r="G35" s="106"/>
      <c r="H35" s="1"/>
      <c r="I35" s="1"/>
      <c r="J35"/>
      <c r="M35" s="8"/>
      <c r="N35" s="8"/>
      <c r="O35" s="8"/>
      <c r="P35" s="8"/>
    </row>
    <row r="36" spans="1:16" s="2" customFormat="1" ht="28.5" customHeight="1" x14ac:dyDescent="0.2">
      <c r="B36" s="112"/>
      <c r="C36" s="107"/>
      <c r="D36" s="112"/>
      <c r="E36" s="1"/>
      <c r="F36" s="1"/>
      <c r="G36" s="106"/>
      <c r="H36" s="1"/>
      <c r="I36" s="1"/>
      <c r="J36"/>
    </row>
    <row r="37" spans="1:16" s="8" customFormat="1" ht="28.5" customHeight="1" x14ac:dyDescent="0.2">
      <c r="B37" s="112"/>
      <c r="C37" s="107"/>
      <c r="D37" s="112"/>
      <c r="E37" s="1"/>
      <c r="F37" s="1"/>
      <c r="G37" s="106"/>
      <c r="H37" s="1"/>
      <c r="I37" s="1"/>
      <c r="J37"/>
      <c r="M37" s="2"/>
      <c r="N37" s="2"/>
      <c r="O37" s="2"/>
      <c r="P37" s="2"/>
    </row>
    <row r="38" spans="1:16" s="2" customFormat="1" ht="28.5" customHeight="1" x14ac:dyDescent="0.2">
      <c r="B38" s="112"/>
      <c r="C38" s="107"/>
      <c r="D38" s="112"/>
      <c r="E38" s="1"/>
      <c r="F38" s="1"/>
      <c r="G38" s="106"/>
      <c r="H38" s="1"/>
      <c r="I38" s="1"/>
      <c r="J38"/>
    </row>
    <row r="39" spans="1:16" s="2" customFormat="1" ht="21" customHeight="1" x14ac:dyDescent="0.2">
      <c r="B39" s="112"/>
      <c r="C39" s="107"/>
      <c r="D39" s="112"/>
      <c r="E39" s="1"/>
      <c r="F39" s="1"/>
      <c r="G39" s="106"/>
      <c r="H39" s="1"/>
      <c r="I39" s="1"/>
      <c r="J39"/>
    </row>
    <row r="40" spans="1:16" s="2" customFormat="1" ht="28.5" customHeight="1" x14ac:dyDescent="0.2">
      <c r="B40" s="112"/>
      <c r="C40" s="107"/>
      <c r="D40" s="112"/>
      <c r="E40" s="1"/>
      <c r="F40" s="1"/>
      <c r="G40" s="106"/>
      <c r="H40" s="1"/>
      <c r="I40" s="1"/>
      <c r="J40"/>
    </row>
    <row r="41" spans="1:16" s="2" customFormat="1" ht="28.5" customHeight="1" x14ac:dyDescent="0.2">
      <c r="B41" s="112"/>
      <c r="C41" s="107"/>
      <c r="D41" s="112"/>
      <c r="E41" s="1"/>
      <c r="F41" s="1"/>
      <c r="G41" s="106"/>
      <c r="H41" s="1"/>
      <c r="I41" s="1"/>
      <c r="J41"/>
    </row>
    <row r="42" spans="1:16" s="2" customFormat="1" ht="21" customHeight="1" x14ac:dyDescent="0.2">
      <c r="B42" s="112"/>
      <c r="C42" s="107"/>
      <c r="D42" s="112"/>
      <c r="E42" s="1"/>
      <c r="F42" s="1"/>
      <c r="G42" s="106"/>
      <c r="H42" s="1"/>
      <c r="I42" s="1"/>
      <c r="J42"/>
    </row>
    <row r="43" spans="1:16" s="2" customFormat="1" ht="24" customHeight="1" x14ac:dyDescent="0.2">
      <c r="B43" s="112"/>
      <c r="C43" s="107"/>
      <c r="D43" s="112"/>
      <c r="E43" s="1"/>
      <c r="F43" s="1"/>
      <c r="G43" s="106"/>
      <c r="H43" s="1"/>
      <c r="I43" s="1"/>
      <c r="J43"/>
    </row>
    <row r="44" spans="1:16" s="2" customFormat="1" ht="28.5" customHeight="1" x14ac:dyDescent="0.2">
      <c r="B44" s="112"/>
      <c r="C44" s="107"/>
      <c r="D44" s="112"/>
      <c r="E44" s="1"/>
      <c r="F44" s="1"/>
      <c r="G44" s="106"/>
      <c r="H44" s="1"/>
      <c r="I44" s="1"/>
      <c r="J44"/>
    </row>
    <row r="45" spans="1:16" s="2" customFormat="1" ht="28.5" customHeight="1" x14ac:dyDescent="0.2">
      <c r="B45" s="112"/>
      <c r="C45" s="107"/>
      <c r="D45" s="112"/>
      <c r="E45" s="1"/>
      <c r="F45" s="1"/>
      <c r="G45" s="106"/>
      <c r="H45" s="1"/>
      <c r="I45" s="1"/>
      <c r="J45"/>
    </row>
    <row r="46" spans="1:16" s="2" customFormat="1" ht="28.5" customHeight="1" x14ac:dyDescent="0.2">
      <c r="B46" s="112"/>
      <c r="C46" s="107"/>
      <c r="D46" s="112"/>
      <c r="E46" s="1"/>
      <c r="F46" s="1"/>
      <c r="G46" s="106"/>
      <c r="H46" s="1"/>
      <c r="I46" s="1"/>
      <c r="J46"/>
    </row>
    <row r="47" spans="1:16" s="2" customFormat="1" ht="20.25" customHeight="1" x14ac:dyDescent="0.2">
      <c r="B47" s="112"/>
      <c r="C47" s="107"/>
      <c r="D47" s="112"/>
      <c r="E47" s="1"/>
      <c r="F47" s="1"/>
      <c r="G47" s="106"/>
      <c r="H47" s="1"/>
      <c r="I47" s="1"/>
      <c r="J47"/>
    </row>
    <row r="48" spans="1:16" s="2" customFormat="1" ht="22.5" customHeight="1" x14ac:dyDescent="0.2">
      <c r="A48" s="2" t="s">
        <v>99</v>
      </c>
      <c r="B48" s="112"/>
      <c r="C48" s="107"/>
      <c r="D48" s="112"/>
      <c r="E48" s="1"/>
      <c r="F48" s="1"/>
      <c r="G48" s="106"/>
      <c r="H48" s="1"/>
      <c r="I48" s="1"/>
      <c r="J48"/>
    </row>
    <row r="49" spans="2:16" s="2" customFormat="1" ht="28.5" customHeight="1" x14ac:dyDescent="0.2">
      <c r="B49" s="112"/>
      <c r="C49" s="107"/>
      <c r="D49" s="112"/>
      <c r="E49" s="1"/>
      <c r="F49" s="1"/>
      <c r="G49" s="106"/>
      <c r="H49" s="1"/>
      <c r="I49" s="1"/>
      <c r="J49"/>
    </row>
    <row r="50" spans="2:16" s="2" customFormat="1" ht="28.5" customHeight="1" x14ac:dyDescent="0.2">
      <c r="B50" s="112"/>
      <c r="C50" s="107"/>
      <c r="D50" s="112"/>
      <c r="E50" s="1"/>
      <c r="F50" s="1"/>
      <c r="G50" s="106"/>
      <c r="H50" s="1"/>
      <c r="I50" s="1"/>
      <c r="J50"/>
    </row>
    <row r="51" spans="2:16" s="2" customFormat="1" ht="28.5" customHeight="1" x14ac:dyDescent="0.2">
      <c r="B51" s="112"/>
      <c r="C51" s="107"/>
      <c r="D51" s="112"/>
      <c r="E51" s="1"/>
      <c r="F51" s="1"/>
      <c r="G51" s="106"/>
      <c r="H51" s="1"/>
      <c r="I51" s="1"/>
      <c r="J51"/>
    </row>
    <row r="52" spans="2:16" s="2" customFormat="1" ht="28.5" customHeight="1" x14ac:dyDescent="0.2">
      <c r="B52" s="112"/>
      <c r="C52" s="107"/>
      <c r="D52" s="112"/>
      <c r="E52" s="1"/>
      <c r="F52" s="1"/>
      <c r="G52" s="106"/>
      <c r="H52" s="1"/>
      <c r="I52" s="1"/>
      <c r="J52"/>
    </row>
    <row r="53" spans="2:16" s="2" customFormat="1" ht="28.5" customHeight="1" x14ac:dyDescent="0.2">
      <c r="B53" s="112"/>
      <c r="C53" s="107"/>
      <c r="D53" s="112"/>
      <c r="E53" s="1"/>
      <c r="F53" s="1"/>
      <c r="G53" s="106"/>
      <c r="H53" s="1"/>
      <c r="I53" s="1"/>
      <c r="J53"/>
    </row>
    <row r="54" spans="2:16" s="2" customFormat="1" ht="28.5" customHeight="1" x14ac:dyDescent="0.2">
      <c r="B54" s="112"/>
      <c r="C54" s="107"/>
      <c r="D54" s="112"/>
      <c r="E54" s="1"/>
      <c r="F54" s="1"/>
      <c r="G54" s="106"/>
      <c r="H54" s="1"/>
      <c r="I54" s="1"/>
      <c r="J54"/>
    </row>
    <row r="55" spans="2:16" s="2" customFormat="1" ht="28.5" customHeight="1" x14ac:dyDescent="0.2">
      <c r="B55" s="112"/>
      <c r="C55" s="107"/>
      <c r="D55" s="112"/>
      <c r="E55" s="1"/>
      <c r="F55" s="1"/>
      <c r="G55" s="106"/>
      <c r="H55" s="1"/>
      <c r="I55" s="1"/>
      <c r="J55"/>
    </row>
    <row r="56" spans="2:16" s="2" customFormat="1" ht="28.5" customHeight="1" x14ac:dyDescent="0.2">
      <c r="B56" s="112"/>
      <c r="C56" s="107"/>
      <c r="D56" s="112"/>
      <c r="E56" s="1"/>
      <c r="F56" s="1"/>
      <c r="G56" s="106"/>
      <c r="H56" s="1"/>
      <c r="I56" s="1"/>
      <c r="J56"/>
    </row>
    <row r="57" spans="2:16" s="2" customFormat="1" ht="28.5" customHeight="1" x14ac:dyDescent="0.2">
      <c r="B57" s="112"/>
      <c r="C57" s="107"/>
      <c r="D57" s="112"/>
      <c r="E57" s="1"/>
      <c r="F57" s="1"/>
      <c r="G57" s="106"/>
      <c r="H57" s="1"/>
      <c r="I57" s="1"/>
      <c r="J57"/>
    </row>
    <row r="58" spans="2:16" s="2" customFormat="1" ht="28.5" customHeight="1" x14ac:dyDescent="0.2">
      <c r="B58" s="112"/>
      <c r="C58" s="107"/>
      <c r="D58" s="112"/>
      <c r="E58" s="1"/>
      <c r="F58" s="1"/>
      <c r="G58" s="106"/>
      <c r="H58" s="1"/>
      <c r="I58" s="1"/>
      <c r="J58"/>
      <c r="M58"/>
      <c r="N58"/>
      <c r="O58"/>
      <c r="P58"/>
    </row>
    <row r="59" spans="2:16" s="2" customFormat="1" ht="28.5" customHeight="1" x14ac:dyDescent="0.2">
      <c r="B59" s="112"/>
      <c r="C59" s="107"/>
      <c r="D59" s="112"/>
      <c r="E59" s="1"/>
      <c r="F59" s="1"/>
      <c r="G59" s="106"/>
      <c r="H59" s="1"/>
      <c r="I59" s="1"/>
      <c r="J59"/>
      <c r="M59"/>
      <c r="N59"/>
      <c r="O59"/>
      <c r="P59"/>
    </row>
    <row r="60" spans="2:16" ht="28.5" customHeight="1" x14ac:dyDescent="0.2"/>
    <row r="61" spans="2:16" ht="28.5" customHeight="1" x14ac:dyDescent="0.2"/>
    <row r="62" spans="2:16" ht="18" customHeight="1" x14ac:dyDescent="0.2"/>
    <row r="63" spans="2:16" ht="21" customHeight="1" x14ac:dyDescent="0.2"/>
    <row r="64" spans="2:16" ht="17.25" customHeight="1" x14ac:dyDescent="0.2">
      <c r="M64" s="8"/>
      <c r="N64" s="8"/>
      <c r="O64" s="8"/>
      <c r="P64" s="8"/>
    </row>
    <row r="65" spans="2:16" ht="24" customHeight="1" x14ac:dyDescent="0.2"/>
    <row r="66" spans="2:16" s="8" customFormat="1" x14ac:dyDescent="0.2">
      <c r="B66" s="112"/>
      <c r="C66" s="107"/>
      <c r="D66" s="112"/>
      <c r="E66" s="1"/>
      <c r="F66" s="1"/>
      <c r="G66" s="106"/>
      <c r="H66" s="1"/>
      <c r="I66" s="1"/>
      <c r="J66"/>
      <c r="M66"/>
      <c r="N66"/>
      <c r="O66"/>
      <c r="P66"/>
    </row>
    <row r="78" spans="2:16" ht="15" customHeight="1" x14ac:dyDescent="0.2"/>
    <row r="79" spans="2:16" ht="15" customHeight="1" x14ac:dyDescent="0.2"/>
    <row r="80" spans="2:16" ht="15" customHeight="1" x14ac:dyDescent="0.2"/>
    <row r="84" ht="19.5" customHeight="1" x14ac:dyDescent="0.2"/>
    <row r="85" ht="34.5" customHeight="1" x14ac:dyDescent="0.2"/>
    <row r="86" ht="18.75" customHeight="1" x14ac:dyDescent="0.2"/>
  </sheetData>
  <mergeCells count="3">
    <mergeCell ref="D30:H30"/>
    <mergeCell ref="N20:O20"/>
    <mergeCell ref="M9:P9"/>
  </mergeCells>
  <phoneticPr fontId="3" type="noConversion"/>
  <printOptions horizontalCentered="1"/>
  <pageMargins left="0.25" right="0.25" top="0.75" bottom="0.75" header="0.3" footer="0.3"/>
  <pageSetup paperSize="9" scale="39" fitToHeight="0" orientation="landscape" r:id="rId1"/>
  <headerFooter alignWithMargins="0">
    <oddFooter>&amp;R14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71"/>
  <sheetViews>
    <sheetView showGridLines="0" tabSelected="1" zoomScale="90" zoomScaleNormal="90" workbookViewId="0">
      <pane ySplit="8" topLeftCell="A9" activePane="bottomLeft" state="frozenSplit"/>
      <selection pane="bottomLeft" activeCell="C57" sqref="C57"/>
    </sheetView>
  </sheetViews>
  <sheetFormatPr defaultRowHeight="13.5" customHeight="1" x14ac:dyDescent="0.2"/>
  <cols>
    <col min="1" max="1" width="3.42578125" customWidth="1"/>
    <col min="2" max="2" width="7.85546875" style="1" customWidth="1"/>
    <col min="3" max="3" width="101.7109375" style="3" customWidth="1"/>
    <col min="4" max="4" width="12.85546875" style="1" customWidth="1"/>
    <col min="5" max="5" width="12.140625" style="1" customWidth="1"/>
    <col min="6" max="6" width="10.85546875" style="1" customWidth="1"/>
    <col min="7" max="7" width="19" customWidth="1"/>
    <col min="8" max="8" width="9.5703125" customWidth="1"/>
    <col min="9" max="9" width="6" customWidth="1"/>
  </cols>
  <sheetData>
    <row r="3" spans="2:10" ht="13.5" customHeight="1" x14ac:dyDescent="0.2">
      <c r="C3" s="109"/>
    </row>
    <row r="6" spans="2:10" ht="13.5" customHeight="1" x14ac:dyDescent="0.25">
      <c r="B6" s="4" t="s">
        <v>50</v>
      </c>
    </row>
    <row r="7" spans="2:10" ht="13.5" customHeight="1" thickBot="1" x14ac:dyDescent="0.25"/>
    <row r="8" spans="2:10" s="14" customFormat="1" ht="26.25" customHeight="1" x14ac:dyDescent="0.2">
      <c r="B8" s="160" t="s">
        <v>0</v>
      </c>
      <c r="C8" s="161" t="s">
        <v>51</v>
      </c>
      <c r="D8" s="161" t="s">
        <v>2</v>
      </c>
      <c r="E8" s="161" t="s">
        <v>28</v>
      </c>
      <c r="F8" s="161" t="s">
        <v>3</v>
      </c>
      <c r="G8" s="161" t="s">
        <v>4</v>
      </c>
      <c r="H8" s="161" t="s">
        <v>5</v>
      </c>
      <c r="I8" s="162" t="s">
        <v>6</v>
      </c>
    </row>
    <row r="9" spans="2:10" ht="13.5" customHeight="1" x14ac:dyDescent="0.2">
      <c r="B9" s="165" t="s">
        <v>11</v>
      </c>
      <c r="C9" s="167" t="s">
        <v>53</v>
      </c>
      <c r="D9" s="165" t="s">
        <v>13</v>
      </c>
      <c r="E9" s="165">
        <v>2</v>
      </c>
      <c r="F9" s="168" t="s">
        <v>47</v>
      </c>
      <c r="G9" s="168" t="s">
        <v>56</v>
      </c>
      <c r="H9" s="164" t="s">
        <v>48</v>
      </c>
      <c r="I9" s="169" t="s">
        <v>13</v>
      </c>
      <c r="J9" s="111"/>
    </row>
    <row r="10" spans="2:10" ht="13.5" customHeight="1" x14ac:dyDescent="0.2">
      <c r="B10" s="165" t="s">
        <v>14</v>
      </c>
      <c r="C10" s="167" t="s">
        <v>54</v>
      </c>
      <c r="D10" s="165" t="s">
        <v>11</v>
      </c>
      <c r="E10" s="165">
        <v>2</v>
      </c>
      <c r="F10" s="168" t="s">
        <v>181</v>
      </c>
      <c r="G10" s="168" t="s">
        <v>56</v>
      </c>
      <c r="H10" s="166" t="s">
        <v>48</v>
      </c>
      <c r="I10" s="169" t="s">
        <v>13</v>
      </c>
      <c r="J10" s="111"/>
    </row>
    <row r="11" spans="2:10" ht="13.5" customHeight="1" x14ac:dyDescent="0.2">
      <c r="B11" s="165" t="s">
        <v>15</v>
      </c>
      <c r="C11" s="167" t="s">
        <v>52</v>
      </c>
      <c r="D11" s="165" t="s">
        <v>14</v>
      </c>
      <c r="E11" s="165">
        <v>2</v>
      </c>
      <c r="F11" s="168" t="s">
        <v>181</v>
      </c>
      <c r="G11" s="168" t="s">
        <v>56</v>
      </c>
      <c r="H11" s="166" t="s">
        <v>48</v>
      </c>
      <c r="I11" s="169" t="s">
        <v>13</v>
      </c>
      <c r="J11" s="111"/>
    </row>
    <row r="12" spans="2:10" ht="13.5" customHeight="1" x14ac:dyDescent="0.2">
      <c r="B12" s="165" t="s">
        <v>7</v>
      </c>
      <c r="C12" s="170" t="s">
        <v>58</v>
      </c>
      <c r="D12" s="165" t="s">
        <v>14</v>
      </c>
      <c r="E12" s="165">
        <v>2</v>
      </c>
      <c r="F12" s="168" t="s">
        <v>181</v>
      </c>
      <c r="G12" s="168" t="s">
        <v>56</v>
      </c>
      <c r="H12" s="166" t="s">
        <v>48</v>
      </c>
      <c r="I12" s="169" t="s">
        <v>13</v>
      </c>
      <c r="J12" s="111"/>
    </row>
    <row r="13" spans="2:10" ht="13.5" customHeight="1" x14ac:dyDescent="0.2">
      <c r="B13" s="168" t="s">
        <v>8</v>
      </c>
      <c r="C13" s="167" t="s">
        <v>129</v>
      </c>
      <c r="D13" s="168" t="s">
        <v>7</v>
      </c>
      <c r="E13" s="168">
        <v>2</v>
      </c>
      <c r="F13" s="168" t="s">
        <v>181</v>
      </c>
      <c r="G13" s="168" t="s">
        <v>56</v>
      </c>
      <c r="H13" s="166" t="s">
        <v>48</v>
      </c>
      <c r="I13" s="169" t="s">
        <v>13</v>
      </c>
      <c r="J13" s="111"/>
    </row>
    <row r="14" spans="2:10" ht="13.5" customHeight="1" x14ac:dyDescent="0.2">
      <c r="B14" s="168" t="s">
        <v>43</v>
      </c>
      <c r="C14" s="167" t="s">
        <v>59</v>
      </c>
      <c r="D14" s="168" t="s">
        <v>8</v>
      </c>
      <c r="E14" s="168">
        <v>2</v>
      </c>
      <c r="F14" s="168" t="s">
        <v>181</v>
      </c>
      <c r="G14" s="168" t="s">
        <v>56</v>
      </c>
      <c r="H14" s="166" t="s">
        <v>48</v>
      </c>
      <c r="I14" s="169" t="s">
        <v>13</v>
      </c>
      <c r="J14" s="111"/>
    </row>
    <row r="15" spans="2:10" ht="13.5" customHeight="1" x14ac:dyDescent="0.2">
      <c r="B15" s="165" t="s">
        <v>44</v>
      </c>
      <c r="C15" s="167" t="s">
        <v>60</v>
      </c>
      <c r="D15" s="165" t="s">
        <v>8</v>
      </c>
      <c r="E15" s="165">
        <v>1</v>
      </c>
      <c r="F15" s="168" t="s">
        <v>181</v>
      </c>
      <c r="G15" s="165" t="s">
        <v>56</v>
      </c>
      <c r="H15" s="166" t="s">
        <v>48</v>
      </c>
      <c r="I15" s="169" t="s">
        <v>13</v>
      </c>
      <c r="J15" s="111"/>
    </row>
    <row r="16" spans="2:10" ht="13.5" customHeight="1" x14ac:dyDescent="0.2">
      <c r="B16" s="165" t="s">
        <v>65</v>
      </c>
      <c r="C16" s="167" t="s">
        <v>61</v>
      </c>
      <c r="D16" s="165" t="s">
        <v>8</v>
      </c>
      <c r="E16" s="165">
        <v>1</v>
      </c>
      <c r="F16" s="168" t="s">
        <v>47</v>
      </c>
      <c r="G16" s="165" t="s">
        <v>56</v>
      </c>
      <c r="H16" s="166" t="s">
        <v>48</v>
      </c>
      <c r="I16" s="169" t="s">
        <v>13</v>
      </c>
      <c r="J16" s="111"/>
    </row>
    <row r="17" spans="2:10" ht="13.5" customHeight="1" x14ac:dyDescent="0.2">
      <c r="B17" s="165" t="s">
        <v>66</v>
      </c>
      <c r="C17" s="167" t="s">
        <v>62</v>
      </c>
      <c r="D17" s="165" t="s">
        <v>8</v>
      </c>
      <c r="E17" s="165">
        <v>2</v>
      </c>
      <c r="F17" s="168" t="s">
        <v>47</v>
      </c>
      <c r="G17" s="165" t="s">
        <v>56</v>
      </c>
      <c r="H17" s="166" t="s">
        <v>48</v>
      </c>
      <c r="I17" s="169" t="s">
        <v>13</v>
      </c>
      <c r="J17" s="111"/>
    </row>
    <row r="18" spans="2:10" ht="13.5" customHeight="1" x14ac:dyDescent="0.2">
      <c r="B18" s="165" t="s">
        <v>171</v>
      </c>
      <c r="C18" s="171" t="s">
        <v>63</v>
      </c>
      <c r="D18" s="165" t="s">
        <v>8</v>
      </c>
      <c r="E18" s="165">
        <v>1</v>
      </c>
      <c r="F18" s="168" t="s">
        <v>181</v>
      </c>
      <c r="G18" s="165" t="s">
        <v>56</v>
      </c>
      <c r="H18" s="166" t="s">
        <v>48</v>
      </c>
      <c r="I18" s="169" t="s">
        <v>13</v>
      </c>
      <c r="J18" s="111"/>
    </row>
    <row r="19" spans="2:10" ht="13.5" customHeight="1" x14ac:dyDescent="0.2">
      <c r="B19" s="165" t="s">
        <v>16</v>
      </c>
      <c r="C19" s="167" t="s">
        <v>132</v>
      </c>
      <c r="D19" s="165" t="s">
        <v>15</v>
      </c>
      <c r="E19" s="165">
        <v>1</v>
      </c>
      <c r="F19" s="168" t="s">
        <v>47</v>
      </c>
      <c r="G19" s="165" t="s">
        <v>67</v>
      </c>
      <c r="H19" s="166" t="s">
        <v>48</v>
      </c>
      <c r="I19" s="169" t="s">
        <v>13</v>
      </c>
      <c r="J19" s="111"/>
    </row>
    <row r="20" spans="2:10" ht="13.5" customHeight="1" x14ac:dyDescent="0.2">
      <c r="B20" s="165" t="s">
        <v>130</v>
      </c>
      <c r="C20" s="167" t="s">
        <v>69</v>
      </c>
      <c r="D20" s="165" t="s">
        <v>16</v>
      </c>
      <c r="E20" s="165">
        <v>1</v>
      </c>
      <c r="F20" s="168" t="s">
        <v>47</v>
      </c>
      <c r="G20" s="165" t="s">
        <v>67</v>
      </c>
      <c r="H20" s="166" t="s">
        <v>48</v>
      </c>
      <c r="I20" s="169" t="s">
        <v>13</v>
      </c>
      <c r="J20" s="111"/>
    </row>
    <row r="21" spans="2:10" ht="13.5" customHeight="1" x14ac:dyDescent="0.2">
      <c r="B21" s="165" t="s">
        <v>71</v>
      </c>
      <c r="C21" s="167" t="s">
        <v>70</v>
      </c>
      <c r="D21" s="165" t="s">
        <v>130</v>
      </c>
      <c r="E21" s="165">
        <v>1</v>
      </c>
      <c r="F21" s="168" t="s">
        <v>47</v>
      </c>
      <c r="G21" s="165" t="s">
        <v>67</v>
      </c>
      <c r="H21" s="166" t="s">
        <v>48</v>
      </c>
      <c r="I21" s="169" t="s">
        <v>13</v>
      </c>
      <c r="J21" s="111"/>
    </row>
    <row r="22" spans="2:10" ht="13.5" customHeight="1" x14ac:dyDescent="0.2">
      <c r="B22" s="165" t="s">
        <v>17</v>
      </c>
      <c r="C22" s="167" t="s">
        <v>237</v>
      </c>
      <c r="D22" s="165" t="s">
        <v>71</v>
      </c>
      <c r="E22" s="165">
        <v>1</v>
      </c>
      <c r="F22" s="168" t="s">
        <v>47</v>
      </c>
      <c r="G22" s="165" t="s">
        <v>67</v>
      </c>
      <c r="H22" s="166" t="s">
        <v>48</v>
      </c>
      <c r="I22" s="169" t="s">
        <v>13</v>
      </c>
      <c r="J22" s="111"/>
    </row>
    <row r="23" spans="2:10" ht="13.5" customHeight="1" x14ac:dyDescent="0.2">
      <c r="B23" s="165" t="s">
        <v>131</v>
      </c>
      <c r="C23" s="167" t="s">
        <v>68</v>
      </c>
      <c r="D23" s="165" t="s">
        <v>17</v>
      </c>
      <c r="E23" s="165">
        <v>2</v>
      </c>
      <c r="F23" s="168" t="s">
        <v>47</v>
      </c>
      <c r="G23" s="165" t="s">
        <v>67</v>
      </c>
      <c r="H23" s="166" t="s">
        <v>48</v>
      </c>
      <c r="I23" s="169" t="s">
        <v>13</v>
      </c>
      <c r="J23" s="111"/>
    </row>
    <row r="24" spans="2:10" ht="13.5" customHeight="1" x14ac:dyDescent="0.2">
      <c r="B24" s="165" t="s">
        <v>139</v>
      </c>
      <c r="C24" s="167" t="s">
        <v>138</v>
      </c>
      <c r="D24" s="165" t="s">
        <v>17</v>
      </c>
      <c r="E24" s="165">
        <v>2</v>
      </c>
      <c r="F24" s="168" t="s">
        <v>181</v>
      </c>
      <c r="G24" s="165" t="s">
        <v>67</v>
      </c>
      <c r="H24" s="166" t="s">
        <v>48</v>
      </c>
      <c r="I24" s="169" t="s">
        <v>13</v>
      </c>
      <c r="J24" s="111"/>
    </row>
    <row r="25" spans="2:10" ht="13.5" customHeight="1" x14ac:dyDescent="0.2">
      <c r="B25" s="165" t="s">
        <v>10</v>
      </c>
      <c r="C25" s="167" t="s">
        <v>73</v>
      </c>
      <c r="D25" s="165" t="s">
        <v>139</v>
      </c>
      <c r="E25" s="165">
        <v>2</v>
      </c>
      <c r="F25" s="168" t="s">
        <v>181</v>
      </c>
      <c r="G25" s="165" t="s">
        <v>74</v>
      </c>
      <c r="H25" s="166" t="s">
        <v>48</v>
      </c>
      <c r="I25" s="169" t="s">
        <v>13</v>
      </c>
      <c r="J25" s="111"/>
    </row>
    <row r="26" spans="2:10" ht="13.5" customHeight="1" x14ac:dyDescent="0.2">
      <c r="B26" s="165" t="s">
        <v>238</v>
      </c>
      <c r="C26" s="167" t="s">
        <v>75</v>
      </c>
      <c r="D26" s="165" t="s">
        <v>10</v>
      </c>
      <c r="E26" s="165">
        <v>1</v>
      </c>
      <c r="F26" s="168" t="s">
        <v>181</v>
      </c>
      <c r="G26" s="165" t="s">
        <v>74</v>
      </c>
      <c r="H26" s="166" t="s">
        <v>48</v>
      </c>
      <c r="I26" s="169" t="s">
        <v>13</v>
      </c>
      <c r="J26" s="111"/>
    </row>
    <row r="27" spans="2:10" ht="13.5" customHeight="1" x14ac:dyDescent="0.2">
      <c r="B27" s="165" t="s">
        <v>76</v>
      </c>
      <c r="C27" s="167" t="s">
        <v>172</v>
      </c>
      <c r="D27" s="165" t="s">
        <v>10</v>
      </c>
      <c r="E27" s="165">
        <v>2</v>
      </c>
      <c r="F27" s="168" t="s">
        <v>47</v>
      </c>
      <c r="G27" s="165" t="s">
        <v>74</v>
      </c>
      <c r="H27" s="166" t="s">
        <v>48</v>
      </c>
      <c r="I27" s="169" t="s">
        <v>13</v>
      </c>
      <c r="J27" s="111"/>
    </row>
    <row r="28" spans="2:10" ht="13.5" customHeight="1" x14ac:dyDescent="0.2">
      <c r="B28" s="165" t="s">
        <v>34</v>
      </c>
      <c r="C28" s="167" t="s">
        <v>77</v>
      </c>
      <c r="D28" s="165" t="s">
        <v>76</v>
      </c>
      <c r="E28" s="165">
        <v>1</v>
      </c>
      <c r="F28" s="168" t="s">
        <v>181</v>
      </c>
      <c r="G28" s="165" t="s">
        <v>74</v>
      </c>
      <c r="H28" s="166" t="s">
        <v>48</v>
      </c>
      <c r="I28" s="169" t="s">
        <v>13</v>
      </c>
      <c r="J28" s="111"/>
    </row>
    <row r="29" spans="2:10" ht="13.5" customHeight="1" x14ac:dyDescent="0.2">
      <c r="B29" s="172" t="s">
        <v>46</v>
      </c>
      <c r="C29" s="167" t="s">
        <v>80</v>
      </c>
      <c r="D29" s="172" t="s">
        <v>34</v>
      </c>
      <c r="E29" s="165">
        <v>2</v>
      </c>
      <c r="F29" s="168" t="s">
        <v>47</v>
      </c>
      <c r="G29" s="172" t="s">
        <v>74</v>
      </c>
      <c r="H29" s="166" t="s">
        <v>48</v>
      </c>
      <c r="I29" s="169" t="s">
        <v>13</v>
      </c>
      <c r="J29" s="111"/>
    </row>
    <row r="30" spans="2:10" ht="13.5" customHeight="1" x14ac:dyDescent="0.2">
      <c r="B30" s="172" t="s">
        <v>78</v>
      </c>
      <c r="C30" s="167" t="s">
        <v>81</v>
      </c>
      <c r="D30" s="172" t="s">
        <v>34</v>
      </c>
      <c r="E30" s="165">
        <v>1</v>
      </c>
      <c r="F30" s="168" t="s">
        <v>181</v>
      </c>
      <c r="G30" s="172" t="s">
        <v>74</v>
      </c>
      <c r="H30" s="166" t="s">
        <v>48</v>
      </c>
      <c r="I30" s="169" t="s">
        <v>13</v>
      </c>
      <c r="J30" s="111"/>
    </row>
    <row r="31" spans="2:10" ht="13.5" customHeight="1" x14ac:dyDescent="0.2">
      <c r="B31" s="172" t="s">
        <v>79</v>
      </c>
      <c r="C31" s="167" t="s">
        <v>82</v>
      </c>
      <c r="D31" s="172" t="s">
        <v>34</v>
      </c>
      <c r="E31" s="165">
        <v>2</v>
      </c>
      <c r="F31" s="168" t="s">
        <v>47</v>
      </c>
      <c r="G31" s="172" t="s">
        <v>74</v>
      </c>
      <c r="H31" s="166" t="s">
        <v>48</v>
      </c>
      <c r="I31" s="169" t="s">
        <v>13</v>
      </c>
      <c r="J31" s="111"/>
    </row>
    <row r="32" spans="2:10" ht="23.25" customHeight="1" x14ac:dyDescent="0.2">
      <c r="B32" s="172" t="s">
        <v>18</v>
      </c>
      <c r="C32" s="167" t="s">
        <v>83</v>
      </c>
      <c r="D32" s="172" t="s">
        <v>79</v>
      </c>
      <c r="E32" s="165">
        <v>2</v>
      </c>
      <c r="F32" s="168" t="s">
        <v>181</v>
      </c>
      <c r="G32" s="172" t="s">
        <v>122</v>
      </c>
      <c r="H32" s="166" t="s">
        <v>48</v>
      </c>
      <c r="I32" s="169" t="s">
        <v>13</v>
      </c>
      <c r="J32" s="111"/>
    </row>
    <row r="33" spans="2:10" ht="13.5" customHeight="1" x14ac:dyDescent="0.2">
      <c r="B33" s="163" t="s">
        <v>19</v>
      </c>
      <c r="C33" s="163" t="s">
        <v>84</v>
      </c>
      <c r="D33" s="163" t="s">
        <v>18</v>
      </c>
      <c r="E33" s="163">
        <v>2</v>
      </c>
      <c r="F33" s="163" t="s">
        <v>181</v>
      </c>
      <c r="G33" s="163" t="s">
        <v>122</v>
      </c>
      <c r="H33" s="163" t="s">
        <v>48</v>
      </c>
      <c r="I33" s="163" t="s">
        <v>13</v>
      </c>
      <c r="J33" s="111"/>
    </row>
    <row r="34" spans="2:10" ht="13.5" customHeight="1" x14ac:dyDescent="0.2">
      <c r="B34" s="163" t="s">
        <v>20</v>
      </c>
      <c r="C34" s="163" t="s">
        <v>85</v>
      </c>
      <c r="D34" s="163" t="s">
        <v>19</v>
      </c>
      <c r="E34" s="163">
        <v>1</v>
      </c>
      <c r="F34" s="163" t="s">
        <v>181</v>
      </c>
      <c r="G34" s="163" t="s">
        <v>122</v>
      </c>
      <c r="H34" s="163" t="s">
        <v>48</v>
      </c>
      <c r="I34" s="163" t="s">
        <v>13</v>
      </c>
      <c r="J34" s="111"/>
    </row>
    <row r="35" spans="2:10" ht="13.5" customHeight="1" x14ac:dyDescent="0.2">
      <c r="B35" s="163" t="s">
        <v>90</v>
      </c>
      <c r="C35" s="163" t="s">
        <v>87</v>
      </c>
      <c r="D35" s="163" t="s">
        <v>20</v>
      </c>
      <c r="E35" s="163">
        <v>1</v>
      </c>
      <c r="F35" s="163" t="s">
        <v>47</v>
      </c>
      <c r="G35" s="163" t="s">
        <v>123</v>
      </c>
      <c r="H35" s="163" t="s">
        <v>48</v>
      </c>
      <c r="I35" s="163" t="s">
        <v>13</v>
      </c>
      <c r="J35" s="111"/>
    </row>
    <row r="36" spans="2:10" ht="13.5" customHeight="1" x14ac:dyDescent="0.2">
      <c r="B36" s="163" t="s">
        <v>91</v>
      </c>
      <c r="C36" s="163" t="s">
        <v>88</v>
      </c>
      <c r="D36" s="163" t="s">
        <v>90</v>
      </c>
      <c r="E36" s="163">
        <v>1</v>
      </c>
      <c r="F36" s="163" t="s">
        <v>47</v>
      </c>
      <c r="G36" s="163" t="s">
        <v>123</v>
      </c>
      <c r="H36" s="163" t="s">
        <v>48</v>
      </c>
      <c r="I36" s="163" t="s">
        <v>13</v>
      </c>
      <c r="J36" s="111"/>
    </row>
    <row r="37" spans="2:10" ht="13.5" customHeight="1" x14ac:dyDescent="0.2">
      <c r="B37" s="163" t="s">
        <v>92</v>
      </c>
      <c r="C37" s="163" t="s">
        <v>89</v>
      </c>
      <c r="D37" s="163" t="s">
        <v>91</v>
      </c>
      <c r="E37" s="163">
        <v>1</v>
      </c>
      <c r="F37" s="163" t="s">
        <v>47</v>
      </c>
      <c r="G37" s="163" t="s">
        <v>123</v>
      </c>
      <c r="H37" s="163" t="s">
        <v>48</v>
      </c>
      <c r="I37" s="163" t="s">
        <v>13</v>
      </c>
      <c r="J37" s="111"/>
    </row>
    <row r="38" spans="2:10" ht="13.5" customHeight="1" x14ac:dyDescent="0.2">
      <c r="B38" s="163" t="s">
        <v>97</v>
      </c>
      <c r="C38" s="163" t="s">
        <v>94</v>
      </c>
      <c r="D38" s="163" t="s">
        <v>92</v>
      </c>
      <c r="E38" s="163">
        <v>2</v>
      </c>
      <c r="F38" s="163" t="s">
        <v>47</v>
      </c>
      <c r="G38" s="163" t="s">
        <v>125</v>
      </c>
      <c r="H38" s="163" t="s">
        <v>48</v>
      </c>
      <c r="I38" s="163" t="s">
        <v>13</v>
      </c>
      <c r="J38" s="111"/>
    </row>
    <row r="39" spans="2:10" ht="13.5" customHeight="1" x14ac:dyDescent="0.2">
      <c r="B39" s="163" t="s">
        <v>98</v>
      </c>
      <c r="C39" s="163" t="s">
        <v>95</v>
      </c>
      <c r="D39" s="163" t="s">
        <v>97</v>
      </c>
      <c r="E39" s="163">
        <v>2</v>
      </c>
      <c r="F39" s="163" t="s">
        <v>181</v>
      </c>
      <c r="G39" s="163" t="s">
        <v>126</v>
      </c>
      <c r="H39" s="163" t="s">
        <v>48</v>
      </c>
      <c r="I39" s="163" t="s">
        <v>13</v>
      </c>
      <c r="J39" s="111"/>
    </row>
    <row r="40" spans="2:10" ht="13.5" customHeight="1" x14ac:dyDescent="0.2">
      <c r="B40" s="163" t="s">
        <v>100</v>
      </c>
      <c r="C40" s="163" t="s">
        <v>96</v>
      </c>
      <c r="D40" s="163" t="s">
        <v>98</v>
      </c>
      <c r="E40" s="163">
        <v>2</v>
      </c>
      <c r="F40" s="163" t="s">
        <v>181</v>
      </c>
      <c r="G40" s="163" t="s">
        <v>126</v>
      </c>
      <c r="H40" s="163" t="s">
        <v>48</v>
      </c>
      <c r="I40" s="163" t="s">
        <v>13</v>
      </c>
      <c r="J40" s="111"/>
    </row>
    <row r="41" spans="2:10" ht="13.5" customHeight="1" x14ac:dyDescent="0.2">
      <c r="B41" s="163" t="s">
        <v>105</v>
      </c>
      <c r="C41" s="163" t="s">
        <v>185</v>
      </c>
      <c r="D41" s="163" t="s">
        <v>100</v>
      </c>
      <c r="E41" s="163">
        <v>2</v>
      </c>
      <c r="F41" s="163" t="s">
        <v>181</v>
      </c>
      <c r="G41" s="163" t="s">
        <v>128</v>
      </c>
      <c r="H41" s="163" t="s">
        <v>48</v>
      </c>
      <c r="I41" s="163" t="s">
        <v>13</v>
      </c>
      <c r="J41" s="111"/>
    </row>
    <row r="42" spans="2:10" ht="13.5" customHeight="1" x14ac:dyDescent="0.2">
      <c r="B42" s="163" t="s">
        <v>106</v>
      </c>
      <c r="C42" s="163" t="s">
        <v>103</v>
      </c>
      <c r="D42" s="163" t="s">
        <v>105</v>
      </c>
      <c r="E42" s="163">
        <v>2</v>
      </c>
      <c r="F42" s="163" t="s">
        <v>181</v>
      </c>
      <c r="G42" s="163" t="s">
        <v>128</v>
      </c>
      <c r="H42" s="163" t="s">
        <v>48</v>
      </c>
      <c r="I42" s="163" t="s">
        <v>13</v>
      </c>
      <c r="J42" s="111"/>
    </row>
    <row r="43" spans="2:10" ht="13.5" customHeight="1" x14ac:dyDescent="0.2">
      <c r="B43" s="163" t="s">
        <v>107</v>
      </c>
      <c r="C43" s="163" t="s">
        <v>104</v>
      </c>
      <c r="D43" s="163" t="s">
        <v>106</v>
      </c>
      <c r="E43" s="163">
        <v>2</v>
      </c>
      <c r="F43" s="163" t="s">
        <v>181</v>
      </c>
      <c r="G43" s="163" t="s">
        <v>128</v>
      </c>
      <c r="H43" s="163" t="s">
        <v>48</v>
      </c>
      <c r="I43" s="163" t="s">
        <v>13</v>
      </c>
      <c r="J43" s="111"/>
    </row>
    <row r="44" spans="2:10" ht="13.5" customHeight="1" x14ac:dyDescent="0.2">
      <c r="B44" s="163" t="s">
        <v>112</v>
      </c>
      <c r="C44" s="163" t="s">
        <v>109</v>
      </c>
      <c r="D44" s="163" t="s">
        <v>107</v>
      </c>
      <c r="E44" s="163">
        <v>2</v>
      </c>
      <c r="F44" s="163" t="s">
        <v>181</v>
      </c>
      <c r="G44" s="163" t="s">
        <v>128</v>
      </c>
      <c r="H44" s="163" t="s">
        <v>48</v>
      </c>
      <c r="I44" s="163" t="s">
        <v>13</v>
      </c>
      <c r="J44" s="111"/>
    </row>
    <row r="45" spans="2:10" ht="13.5" customHeight="1" x14ac:dyDescent="0.2">
      <c r="B45" s="163" t="s">
        <v>113</v>
      </c>
      <c r="C45" s="163" t="s">
        <v>110</v>
      </c>
      <c r="D45" s="163" t="s">
        <v>112</v>
      </c>
      <c r="E45" s="163">
        <v>2</v>
      </c>
      <c r="F45" s="163" t="s">
        <v>181</v>
      </c>
      <c r="G45" s="163" t="s">
        <v>128</v>
      </c>
      <c r="H45" s="163" t="s">
        <v>48</v>
      </c>
      <c r="I45" s="163" t="s">
        <v>13</v>
      </c>
      <c r="J45" s="111"/>
    </row>
    <row r="46" spans="2:10" ht="13.5" customHeight="1" x14ac:dyDescent="0.2">
      <c r="B46" s="163" t="s">
        <v>114</v>
      </c>
      <c r="C46" s="163" t="s">
        <v>111</v>
      </c>
      <c r="D46" s="163" t="s">
        <v>113</v>
      </c>
      <c r="E46" s="163">
        <v>2</v>
      </c>
      <c r="F46" s="163" t="s">
        <v>181</v>
      </c>
      <c r="G46" s="163" t="s">
        <v>128</v>
      </c>
      <c r="H46" s="163" t="s">
        <v>48</v>
      </c>
      <c r="I46" s="163" t="s">
        <v>13</v>
      </c>
      <c r="J46" s="111"/>
    </row>
    <row r="47" spans="2:10" ht="13.5" customHeight="1" x14ac:dyDescent="0.2">
      <c r="B47" s="163" t="s">
        <v>118</v>
      </c>
      <c r="C47" s="163" t="s">
        <v>116</v>
      </c>
      <c r="D47" s="163" t="s">
        <v>114</v>
      </c>
      <c r="E47" s="163">
        <v>2</v>
      </c>
      <c r="F47" s="163" t="s">
        <v>181</v>
      </c>
      <c r="G47" s="163" t="s">
        <v>127</v>
      </c>
      <c r="H47" s="163" t="s">
        <v>48</v>
      </c>
      <c r="I47" s="163" t="s">
        <v>13</v>
      </c>
      <c r="J47" s="111"/>
    </row>
    <row r="48" spans="2:10" ht="13.5" customHeight="1" x14ac:dyDescent="0.2">
      <c r="B48" s="163" t="s">
        <v>119</v>
      </c>
      <c r="C48" s="163" t="s">
        <v>173</v>
      </c>
      <c r="D48" s="163" t="s">
        <v>118</v>
      </c>
      <c r="E48" s="163">
        <v>2</v>
      </c>
      <c r="F48" s="163" t="s">
        <v>181</v>
      </c>
      <c r="G48" s="163" t="s">
        <v>126</v>
      </c>
      <c r="H48" s="163" t="s">
        <v>48</v>
      </c>
      <c r="I48" s="163" t="s">
        <v>13</v>
      </c>
      <c r="J48" s="111"/>
    </row>
    <row r="49" spans="2:10" ht="13.5" customHeight="1" x14ac:dyDescent="0.2">
      <c r="B49" s="163" t="s">
        <v>120</v>
      </c>
      <c r="C49" s="163" t="s">
        <v>174</v>
      </c>
      <c r="D49" s="163" t="s">
        <v>119</v>
      </c>
      <c r="E49" s="163">
        <v>2</v>
      </c>
      <c r="F49" s="163" t="s">
        <v>181</v>
      </c>
      <c r="G49" s="163" t="s">
        <v>126</v>
      </c>
      <c r="H49" s="163" t="s">
        <v>48</v>
      </c>
      <c r="I49" s="163" t="s">
        <v>13</v>
      </c>
      <c r="J49" s="111"/>
    </row>
    <row r="50" spans="2:10" ht="13.5" customHeight="1" x14ac:dyDescent="0.2">
      <c r="B50" s="163" t="s">
        <v>175</v>
      </c>
      <c r="C50" s="163" t="s">
        <v>178</v>
      </c>
      <c r="D50" s="163" t="s">
        <v>120</v>
      </c>
      <c r="E50" s="163">
        <v>2</v>
      </c>
      <c r="F50" s="163" t="s">
        <v>181</v>
      </c>
      <c r="G50" s="163" t="s">
        <v>128</v>
      </c>
      <c r="H50" s="163" t="s">
        <v>48</v>
      </c>
      <c r="I50" s="163" t="s">
        <v>13</v>
      </c>
      <c r="J50" s="111"/>
    </row>
    <row r="51" spans="2:10" ht="13.5" customHeight="1" x14ac:dyDescent="0.2">
      <c r="B51" s="163" t="s">
        <v>176</v>
      </c>
      <c r="C51" s="163" t="s">
        <v>179</v>
      </c>
      <c r="D51" s="163" t="s">
        <v>175</v>
      </c>
      <c r="E51" s="163">
        <v>2</v>
      </c>
      <c r="F51" s="163" t="s">
        <v>181</v>
      </c>
      <c r="G51" s="163" t="s">
        <v>128</v>
      </c>
      <c r="H51" s="163" t="s">
        <v>48</v>
      </c>
      <c r="I51" s="163" t="s">
        <v>13</v>
      </c>
      <c r="J51" s="111"/>
    </row>
    <row r="52" spans="2:10" ht="13.5" customHeight="1" x14ac:dyDescent="0.2">
      <c r="B52" s="163" t="s">
        <v>177</v>
      </c>
      <c r="C52" s="163" t="s">
        <v>180</v>
      </c>
      <c r="D52" s="163" t="s">
        <v>176</v>
      </c>
      <c r="E52" s="163">
        <v>2</v>
      </c>
      <c r="F52" s="163" t="s">
        <v>181</v>
      </c>
      <c r="G52" s="163" t="s">
        <v>128</v>
      </c>
      <c r="H52" s="163" t="s">
        <v>48</v>
      </c>
      <c r="I52" s="163" t="s">
        <v>13</v>
      </c>
      <c r="J52" s="111"/>
    </row>
    <row r="53" spans="2:10" ht="13.5" customHeight="1" x14ac:dyDescent="0.2">
      <c r="B53"/>
      <c r="C53"/>
      <c r="D53"/>
      <c r="E53"/>
      <c r="F53"/>
    </row>
    <row r="54" spans="2:10" ht="13.5" customHeight="1" x14ac:dyDescent="0.2">
      <c r="B54"/>
      <c r="C54"/>
      <c r="D54"/>
      <c r="E54"/>
      <c r="F54"/>
    </row>
    <row r="55" spans="2:10" ht="13.5" customHeight="1" x14ac:dyDescent="0.2">
      <c r="B55"/>
      <c r="C55"/>
      <c r="D55"/>
      <c r="E55"/>
      <c r="F55"/>
    </row>
    <row r="56" spans="2:10" ht="13.5" customHeight="1" x14ac:dyDescent="0.2">
      <c r="B56"/>
      <c r="C56"/>
      <c r="D56"/>
      <c r="E56"/>
      <c r="F56"/>
    </row>
    <row r="57" spans="2:10" ht="13.5" customHeight="1" x14ac:dyDescent="0.2">
      <c r="B57"/>
      <c r="C57"/>
      <c r="D57"/>
      <c r="E57"/>
      <c r="F57"/>
    </row>
    <row r="58" spans="2:10" ht="13.5" customHeight="1" x14ac:dyDescent="0.2">
      <c r="B58"/>
      <c r="C58"/>
      <c r="D58"/>
      <c r="E58"/>
      <c r="F58"/>
    </row>
    <row r="59" spans="2:10" ht="13.5" customHeight="1" x14ac:dyDescent="0.2">
      <c r="B59"/>
      <c r="C59"/>
      <c r="D59"/>
      <c r="E59"/>
      <c r="F59"/>
    </row>
    <row r="60" spans="2:10" ht="13.5" customHeight="1" x14ac:dyDescent="0.2">
      <c r="B60"/>
      <c r="C60"/>
      <c r="D60"/>
      <c r="E60"/>
      <c r="F60"/>
    </row>
    <row r="61" spans="2:10" ht="13.5" customHeight="1" x14ac:dyDescent="0.2">
      <c r="B61"/>
      <c r="C61"/>
      <c r="D61"/>
      <c r="E61"/>
      <c r="F61"/>
    </row>
    <row r="62" spans="2:10" ht="13.5" customHeight="1" x14ac:dyDescent="0.2">
      <c r="B62"/>
      <c r="C62"/>
      <c r="D62"/>
      <c r="E62"/>
      <c r="F62"/>
    </row>
    <row r="63" spans="2:10" ht="13.5" customHeight="1" x14ac:dyDescent="0.2">
      <c r="B63"/>
      <c r="C63"/>
      <c r="D63"/>
      <c r="E63"/>
      <c r="F63"/>
    </row>
    <row r="64" spans="2:10" ht="13.5" customHeight="1" x14ac:dyDescent="0.2">
      <c r="B64"/>
      <c r="C64"/>
      <c r="D64"/>
      <c r="E64"/>
      <c r="F64"/>
    </row>
    <row r="65" spans="2:6" ht="13.5" customHeight="1" x14ac:dyDescent="0.2">
      <c r="B65"/>
      <c r="C65"/>
      <c r="D65"/>
      <c r="E65"/>
      <c r="F65"/>
    </row>
    <row r="66" spans="2:6" ht="13.5" customHeight="1" x14ac:dyDescent="0.2">
      <c r="B66"/>
      <c r="C66"/>
      <c r="D66"/>
      <c r="E66"/>
      <c r="F66"/>
    </row>
    <row r="67" spans="2:6" ht="13.5" customHeight="1" x14ac:dyDescent="0.2">
      <c r="B67"/>
      <c r="C67"/>
      <c r="D67"/>
      <c r="E67"/>
      <c r="F67"/>
    </row>
    <row r="68" spans="2:6" ht="13.5" customHeight="1" x14ac:dyDescent="0.2">
      <c r="B68"/>
      <c r="C68"/>
      <c r="D68"/>
      <c r="E68"/>
      <c r="F68"/>
    </row>
    <row r="69" spans="2:6" ht="13.5" customHeight="1" x14ac:dyDescent="0.2">
      <c r="B69"/>
      <c r="C69"/>
      <c r="D69"/>
      <c r="E69"/>
      <c r="F69"/>
    </row>
    <row r="70" spans="2:6" ht="13.5" customHeight="1" x14ac:dyDescent="0.2">
      <c r="B70"/>
      <c r="C70"/>
      <c r="D70"/>
      <c r="E70"/>
      <c r="F70"/>
    </row>
    <row r="71" spans="2:6" ht="13.5" customHeight="1" x14ac:dyDescent="0.2">
      <c r="B71"/>
      <c r="C71"/>
      <c r="D71"/>
      <c r="E71"/>
      <c r="F71"/>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x14ac:dyDescent="0.25"/>
  <cols>
    <col min="1" max="3" width="2.7109375" style="41"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x14ac:dyDescent="0.35">
      <c r="E3" s="37" t="s">
        <v>182</v>
      </c>
      <c r="F3" s="38"/>
      <c r="G3" s="39"/>
      <c r="H3" s="40"/>
    </row>
    <row r="5" spans="1:66" ht="34.5" customHeight="1" thickBot="1" x14ac:dyDescent="0.3">
      <c r="A5" s="41" t="s">
        <v>140</v>
      </c>
      <c r="D5" s="105" t="s">
        <v>170</v>
      </c>
      <c r="E5" s="122" t="s">
        <v>141</v>
      </c>
      <c r="F5" s="123"/>
      <c r="G5" s="124">
        <v>45160</v>
      </c>
      <c r="H5" s="124"/>
    </row>
    <row r="6" spans="1:66" ht="30" customHeight="1" thickTop="1" thickBot="1" x14ac:dyDescent="0.3">
      <c r="A6" s="36" t="s">
        <v>142</v>
      </c>
      <c r="B6" s="36"/>
      <c r="C6" s="36"/>
      <c r="E6" s="122" t="s">
        <v>143</v>
      </c>
      <c r="F6" s="123"/>
      <c r="G6" s="42">
        <v>1</v>
      </c>
      <c r="K6" s="119">
        <f>K7</f>
        <v>45159</v>
      </c>
      <c r="L6" s="120"/>
      <c r="M6" s="120"/>
      <c r="N6" s="120"/>
      <c r="O6" s="120"/>
      <c r="P6" s="120"/>
      <c r="Q6" s="121"/>
      <c r="R6" s="119">
        <f>R7</f>
        <v>45166</v>
      </c>
      <c r="S6" s="120"/>
      <c r="T6" s="120"/>
      <c r="U6" s="120"/>
      <c r="V6" s="120"/>
      <c r="W6" s="120"/>
      <c r="X6" s="121"/>
      <c r="Y6" s="119">
        <f>Y7</f>
        <v>45173</v>
      </c>
      <c r="Z6" s="120"/>
      <c r="AA6" s="120"/>
      <c r="AB6" s="120"/>
      <c r="AC6" s="120"/>
      <c r="AD6" s="120"/>
      <c r="AE6" s="121"/>
      <c r="AF6" s="119">
        <f>AF7</f>
        <v>45180</v>
      </c>
      <c r="AG6" s="120"/>
      <c r="AH6" s="120"/>
      <c r="AI6" s="120"/>
      <c r="AJ6" s="120"/>
      <c r="AK6" s="120"/>
      <c r="AL6" s="121"/>
      <c r="AM6" s="119">
        <f>AM7</f>
        <v>45187</v>
      </c>
      <c r="AN6" s="120"/>
      <c r="AO6" s="120"/>
      <c r="AP6" s="120"/>
      <c r="AQ6" s="120"/>
      <c r="AR6" s="120"/>
      <c r="AS6" s="121"/>
      <c r="AT6" s="119">
        <f>AT7</f>
        <v>45194</v>
      </c>
      <c r="AU6" s="120"/>
      <c r="AV6" s="120"/>
      <c r="AW6" s="120"/>
      <c r="AX6" s="120"/>
      <c r="AY6" s="120"/>
      <c r="AZ6" s="121"/>
      <c r="BA6" s="119">
        <f>BA7</f>
        <v>45201</v>
      </c>
      <c r="BB6" s="120"/>
      <c r="BC6" s="120"/>
      <c r="BD6" s="120"/>
      <c r="BE6" s="120"/>
      <c r="BF6" s="120"/>
      <c r="BG6" s="121"/>
      <c r="BH6" s="119">
        <f>BH7</f>
        <v>45208</v>
      </c>
      <c r="BI6" s="120"/>
      <c r="BJ6" s="120"/>
      <c r="BK6" s="120"/>
      <c r="BL6" s="120"/>
      <c r="BM6" s="120"/>
      <c r="BN6" s="121"/>
    </row>
    <row r="7" spans="1:66" ht="15" customHeight="1" x14ac:dyDescent="0.25">
      <c r="A7" s="36" t="s">
        <v>144</v>
      </c>
      <c r="B7" s="36"/>
      <c r="C7" s="36"/>
      <c r="D7" s="43"/>
      <c r="E7" s="43"/>
      <c r="F7" s="43"/>
      <c r="G7" s="43"/>
      <c r="H7" s="43"/>
      <c r="I7" s="43"/>
      <c r="K7" s="44">
        <f>Início_do_projeto-WEEKDAY(Início_do_projeto,1)+2+7*(Semana_de_exibição-1)</f>
        <v>45159</v>
      </c>
      <c r="L7" s="45">
        <f>K7+1</f>
        <v>45160</v>
      </c>
      <c r="M7" s="45">
        <f t="shared" ref="M7:AZ7" si="0">L7+1</f>
        <v>45161</v>
      </c>
      <c r="N7" s="45">
        <f t="shared" si="0"/>
        <v>45162</v>
      </c>
      <c r="O7" s="45">
        <f t="shared" si="0"/>
        <v>45163</v>
      </c>
      <c r="P7" s="45">
        <f t="shared" si="0"/>
        <v>45164</v>
      </c>
      <c r="Q7" s="46">
        <f t="shared" si="0"/>
        <v>45165</v>
      </c>
      <c r="R7" s="44">
        <f>Q7+1</f>
        <v>45166</v>
      </c>
      <c r="S7" s="45">
        <f>R7+1</f>
        <v>45167</v>
      </c>
      <c r="T7" s="45">
        <f t="shared" si="0"/>
        <v>45168</v>
      </c>
      <c r="U7" s="45">
        <f t="shared" si="0"/>
        <v>45169</v>
      </c>
      <c r="V7" s="45">
        <f t="shared" si="0"/>
        <v>45170</v>
      </c>
      <c r="W7" s="45">
        <f t="shared" si="0"/>
        <v>45171</v>
      </c>
      <c r="X7" s="46">
        <f t="shared" si="0"/>
        <v>45172</v>
      </c>
      <c r="Y7" s="44">
        <f>X7+1</f>
        <v>45173</v>
      </c>
      <c r="Z7" s="45">
        <f>Y7+1</f>
        <v>45174</v>
      </c>
      <c r="AA7" s="45">
        <f t="shared" si="0"/>
        <v>45175</v>
      </c>
      <c r="AB7" s="45">
        <f t="shared" si="0"/>
        <v>45176</v>
      </c>
      <c r="AC7" s="45">
        <f t="shared" si="0"/>
        <v>45177</v>
      </c>
      <c r="AD7" s="45">
        <f t="shared" si="0"/>
        <v>45178</v>
      </c>
      <c r="AE7" s="46">
        <f t="shared" si="0"/>
        <v>45179</v>
      </c>
      <c r="AF7" s="44">
        <f>AE7+1</f>
        <v>45180</v>
      </c>
      <c r="AG7" s="45">
        <f>AF7+1</f>
        <v>45181</v>
      </c>
      <c r="AH7" s="45">
        <f t="shared" si="0"/>
        <v>45182</v>
      </c>
      <c r="AI7" s="45">
        <f t="shared" si="0"/>
        <v>45183</v>
      </c>
      <c r="AJ7" s="45">
        <f t="shared" si="0"/>
        <v>45184</v>
      </c>
      <c r="AK7" s="45">
        <f t="shared" si="0"/>
        <v>45185</v>
      </c>
      <c r="AL7" s="46">
        <f t="shared" si="0"/>
        <v>45186</v>
      </c>
      <c r="AM7" s="44">
        <f>AL7+1</f>
        <v>45187</v>
      </c>
      <c r="AN7" s="45">
        <f>AM7+1</f>
        <v>45188</v>
      </c>
      <c r="AO7" s="45">
        <f t="shared" si="0"/>
        <v>45189</v>
      </c>
      <c r="AP7" s="45">
        <f t="shared" si="0"/>
        <v>45190</v>
      </c>
      <c r="AQ7" s="45">
        <f t="shared" si="0"/>
        <v>45191</v>
      </c>
      <c r="AR7" s="45">
        <f t="shared" si="0"/>
        <v>45192</v>
      </c>
      <c r="AS7" s="46">
        <f t="shared" si="0"/>
        <v>45193</v>
      </c>
      <c r="AT7" s="44">
        <f>AS7+1</f>
        <v>45194</v>
      </c>
      <c r="AU7" s="45">
        <f>AT7+1</f>
        <v>45195</v>
      </c>
      <c r="AV7" s="45">
        <f t="shared" si="0"/>
        <v>45196</v>
      </c>
      <c r="AW7" s="45">
        <f t="shared" si="0"/>
        <v>45197</v>
      </c>
      <c r="AX7" s="45">
        <f t="shared" si="0"/>
        <v>45198</v>
      </c>
      <c r="AY7" s="45">
        <f t="shared" si="0"/>
        <v>45199</v>
      </c>
      <c r="AZ7" s="46">
        <f t="shared" si="0"/>
        <v>45200</v>
      </c>
      <c r="BA7" s="44">
        <f t="shared" ref="BA7:BN7" si="1">AZ7+1</f>
        <v>45201</v>
      </c>
      <c r="BB7" s="45">
        <f t="shared" si="1"/>
        <v>45202</v>
      </c>
      <c r="BC7" s="45">
        <f t="shared" si="1"/>
        <v>45203</v>
      </c>
      <c r="BD7" s="45">
        <f t="shared" si="1"/>
        <v>45204</v>
      </c>
      <c r="BE7" s="45">
        <f t="shared" si="1"/>
        <v>45205</v>
      </c>
      <c r="BF7" s="45">
        <f t="shared" si="1"/>
        <v>45206</v>
      </c>
      <c r="BG7" s="46">
        <f t="shared" si="1"/>
        <v>45207</v>
      </c>
      <c r="BH7" s="44">
        <f t="shared" si="1"/>
        <v>45208</v>
      </c>
      <c r="BI7" s="45">
        <f t="shared" si="1"/>
        <v>45209</v>
      </c>
      <c r="BJ7" s="45">
        <f t="shared" si="1"/>
        <v>45210</v>
      </c>
      <c r="BK7" s="45">
        <f t="shared" si="1"/>
        <v>45211</v>
      </c>
      <c r="BL7" s="45">
        <f t="shared" si="1"/>
        <v>45212</v>
      </c>
      <c r="BM7" s="45">
        <f t="shared" si="1"/>
        <v>45213</v>
      </c>
      <c r="BN7" s="46">
        <f t="shared" si="1"/>
        <v>45214</v>
      </c>
    </row>
    <row r="8" spans="1:66" ht="30" customHeight="1" thickBot="1" x14ac:dyDescent="0.3">
      <c r="A8" s="36" t="s">
        <v>145</v>
      </c>
      <c r="B8" s="36"/>
      <c r="C8" s="36"/>
      <c r="D8" s="47" t="s">
        <v>146</v>
      </c>
      <c r="E8" s="48" t="s">
        <v>147</v>
      </c>
      <c r="F8" s="48" t="s">
        <v>148</v>
      </c>
      <c r="G8" s="48" t="s">
        <v>149</v>
      </c>
      <c r="H8" s="48" t="s">
        <v>150</v>
      </c>
      <c r="I8" s="48"/>
      <c r="J8" s="48" t="s">
        <v>151</v>
      </c>
      <c r="K8" s="49" t="str">
        <f t="shared" ref="K8:BN8" si="2">LEFT(TEXT(K7,"ddd"),1)</f>
        <v>s</v>
      </c>
      <c r="L8" s="49" t="str">
        <f t="shared" si="2"/>
        <v>t</v>
      </c>
      <c r="M8" s="49" t="str">
        <f t="shared" si="2"/>
        <v>q</v>
      </c>
      <c r="N8" s="49" t="str">
        <f t="shared" si="2"/>
        <v>q</v>
      </c>
      <c r="O8" s="49" t="str">
        <f t="shared" si="2"/>
        <v>s</v>
      </c>
      <c r="P8" s="49" t="str">
        <f t="shared" si="2"/>
        <v>s</v>
      </c>
      <c r="Q8" s="49" t="str">
        <f t="shared" si="2"/>
        <v>d</v>
      </c>
      <c r="R8" s="49" t="str">
        <f t="shared" si="2"/>
        <v>s</v>
      </c>
      <c r="S8" s="49" t="str">
        <f t="shared" si="2"/>
        <v>t</v>
      </c>
      <c r="T8" s="49" t="str">
        <f t="shared" si="2"/>
        <v>q</v>
      </c>
      <c r="U8" s="49" t="str">
        <f t="shared" si="2"/>
        <v>q</v>
      </c>
      <c r="V8" s="49" t="str">
        <f t="shared" si="2"/>
        <v>s</v>
      </c>
      <c r="W8" s="49" t="str">
        <f t="shared" si="2"/>
        <v>s</v>
      </c>
      <c r="X8" s="49" t="str">
        <f t="shared" si="2"/>
        <v>d</v>
      </c>
      <c r="Y8" s="49" t="str">
        <f t="shared" si="2"/>
        <v>s</v>
      </c>
      <c r="Z8" s="49" t="str">
        <f t="shared" si="2"/>
        <v>t</v>
      </c>
      <c r="AA8" s="49" t="str">
        <f t="shared" si="2"/>
        <v>q</v>
      </c>
      <c r="AB8" s="49" t="str">
        <f t="shared" si="2"/>
        <v>q</v>
      </c>
      <c r="AC8" s="49" t="str">
        <f t="shared" si="2"/>
        <v>s</v>
      </c>
      <c r="AD8" s="49" t="str">
        <f t="shared" si="2"/>
        <v>s</v>
      </c>
      <c r="AE8" s="49" t="str">
        <f t="shared" si="2"/>
        <v>d</v>
      </c>
      <c r="AF8" s="49" t="str">
        <f t="shared" si="2"/>
        <v>s</v>
      </c>
      <c r="AG8" s="49" t="str">
        <f t="shared" si="2"/>
        <v>t</v>
      </c>
      <c r="AH8" s="49" t="str">
        <f t="shared" si="2"/>
        <v>q</v>
      </c>
      <c r="AI8" s="49" t="str">
        <f t="shared" si="2"/>
        <v>q</v>
      </c>
      <c r="AJ8" s="49" t="str">
        <f t="shared" si="2"/>
        <v>s</v>
      </c>
      <c r="AK8" s="49" t="str">
        <f t="shared" si="2"/>
        <v>s</v>
      </c>
      <c r="AL8" s="49" t="str">
        <f t="shared" si="2"/>
        <v>d</v>
      </c>
      <c r="AM8" s="49" t="str">
        <f t="shared" si="2"/>
        <v>s</v>
      </c>
      <c r="AN8" s="49" t="str">
        <f t="shared" si="2"/>
        <v>t</v>
      </c>
      <c r="AO8" s="49" t="str">
        <f t="shared" si="2"/>
        <v>q</v>
      </c>
      <c r="AP8" s="49" t="str">
        <f t="shared" si="2"/>
        <v>q</v>
      </c>
      <c r="AQ8" s="49" t="str">
        <f t="shared" si="2"/>
        <v>s</v>
      </c>
      <c r="AR8" s="49" t="str">
        <f t="shared" si="2"/>
        <v>s</v>
      </c>
      <c r="AS8" s="49" t="str">
        <f t="shared" si="2"/>
        <v>d</v>
      </c>
      <c r="AT8" s="49" t="str">
        <f t="shared" si="2"/>
        <v>s</v>
      </c>
      <c r="AU8" s="49" t="str">
        <f t="shared" si="2"/>
        <v>t</v>
      </c>
      <c r="AV8" s="49" t="str">
        <f t="shared" si="2"/>
        <v>q</v>
      </c>
      <c r="AW8" s="49" t="str">
        <f t="shared" si="2"/>
        <v>q</v>
      </c>
      <c r="AX8" s="49" t="str">
        <f t="shared" si="2"/>
        <v>s</v>
      </c>
      <c r="AY8" s="49" t="str">
        <f t="shared" si="2"/>
        <v>s</v>
      </c>
      <c r="AZ8" s="49" t="str">
        <f t="shared" si="2"/>
        <v>d</v>
      </c>
      <c r="BA8" s="49" t="str">
        <f t="shared" si="2"/>
        <v>s</v>
      </c>
      <c r="BB8" s="49" t="str">
        <f t="shared" si="2"/>
        <v>t</v>
      </c>
      <c r="BC8" s="49" t="str">
        <f t="shared" si="2"/>
        <v>q</v>
      </c>
      <c r="BD8" s="49" t="str">
        <f t="shared" si="2"/>
        <v>q</v>
      </c>
      <c r="BE8" s="49" t="str">
        <f t="shared" si="2"/>
        <v>s</v>
      </c>
      <c r="BF8" s="49" t="str">
        <f t="shared" si="2"/>
        <v>s</v>
      </c>
      <c r="BG8" s="49" t="str">
        <f t="shared" si="2"/>
        <v>d</v>
      </c>
      <c r="BH8" s="49" t="str">
        <f t="shared" si="2"/>
        <v>s</v>
      </c>
      <c r="BI8" s="49" t="str">
        <f t="shared" si="2"/>
        <v>t</v>
      </c>
      <c r="BJ8" s="49" t="str">
        <f t="shared" si="2"/>
        <v>q</v>
      </c>
      <c r="BK8" s="49" t="str">
        <f t="shared" si="2"/>
        <v>q</v>
      </c>
      <c r="BL8" s="49" t="str">
        <f t="shared" si="2"/>
        <v>s</v>
      </c>
      <c r="BM8" s="49" t="str">
        <f t="shared" si="2"/>
        <v>s</v>
      </c>
      <c r="BN8" s="49" t="str">
        <f t="shared" si="2"/>
        <v>d</v>
      </c>
    </row>
    <row r="9" spans="1:66" ht="30" hidden="1" customHeight="1" x14ac:dyDescent="0.25">
      <c r="A9" s="41" t="s">
        <v>152</v>
      </c>
      <c r="E9" s="50"/>
      <c r="G9"/>
      <c r="J9">
        <f>IF(OR(ISBLANK(início_da_tarefa),ISBLANK(término_da_tarefa)),"",término_da_tarefa-início_da_tarefa+1)</f>
        <v>4</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row>
    <row r="10" spans="1:66" s="14" customFormat="1" ht="30" customHeight="1" thickBot="1" x14ac:dyDescent="0.3">
      <c r="A10" s="36" t="s">
        <v>153</v>
      </c>
      <c r="B10" s="36"/>
      <c r="C10" s="36"/>
      <c r="D10" s="52" t="s">
        <v>55</v>
      </c>
      <c r="E10" s="53"/>
      <c r="F10" s="54"/>
      <c r="G10" s="55"/>
      <c r="H10" s="56"/>
      <c r="I10" s="57"/>
      <c r="J10" s="57">
        <f t="shared" ref="J10:J35" si="3">IF(OR(ISBLANK(início_da_tarefa),ISBLANK(término_da_tarefa)),"",término_da_tarefa-início_da_tarefa+1)</f>
        <v>3</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row>
    <row r="11" spans="1:66" s="14" customFormat="1" ht="30" customHeight="1" thickBot="1" x14ac:dyDescent="0.3">
      <c r="A11" s="36" t="s">
        <v>154</v>
      </c>
      <c r="B11" s="36"/>
      <c r="C11" s="36"/>
      <c r="D11" s="58" t="s">
        <v>53</v>
      </c>
      <c r="E11" s="59"/>
      <c r="F11" s="60"/>
      <c r="G11" s="61">
        <f>Início_do_projeto</f>
        <v>45160</v>
      </c>
      <c r="H11" s="61">
        <f>G11+3</f>
        <v>45163</v>
      </c>
      <c r="I11" s="57"/>
      <c r="J11" s="57">
        <f t="shared" si="3"/>
        <v>5</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row>
    <row r="12" spans="1:66" s="14" customFormat="1" ht="30" customHeight="1" thickBot="1" x14ac:dyDescent="0.3">
      <c r="A12" s="36" t="s">
        <v>156</v>
      </c>
      <c r="B12" s="36"/>
      <c r="C12" s="36"/>
      <c r="D12" s="58" t="s">
        <v>157</v>
      </c>
      <c r="E12" s="59"/>
      <c r="F12" s="60"/>
      <c r="G12" s="61"/>
      <c r="H12" s="61"/>
      <c r="I12" s="57"/>
      <c r="J12" s="57">
        <f t="shared" si="3"/>
        <v>6</v>
      </c>
      <c r="K12" s="51"/>
      <c r="L12" s="51"/>
      <c r="M12" s="51"/>
      <c r="N12" s="51"/>
      <c r="O12" s="51"/>
      <c r="P12" s="51"/>
      <c r="Q12" s="51"/>
      <c r="R12" s="51"/>
      <c r="S12" s="51"/>
      <c r="T12" s="51"/>
      <c r="U12" s="51"/>
      <c r="V12" s="51"/>
      <c r="W12" s="62"/>
      <c r="X12" s="62"/>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row>
    <row r="13" spans="1:66" s="14" customFormat="1" ht="30" customHeight="1" thickBot="1" x14ac:dyDescent="0.3">
      <c r="A13" s="41"/>
      <c r="B13" s="41"/>
      <c r="C13" s="41"/>
      <c r="D13" s="58" t="s">
        <v>158</v>
      </c>
      <c r="E13" s="59"/>
      <c r="F13" s="60"/>
      <c r="G13" s="61"/>
      <c r="H13" s="61"/>
      <c r="I13" s="57"/>
      <c r="J13" s="57">
        <f t="shared" si="3"/>
        <v>3</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row>
    <row r="14" spans="1:66" s="14" customFormat="1" ht="30" customHeight="1" thickBot="1" x14ac:dyDescent="0.3">
      <c r="A14" s="41"/>
      <c r="B14" s="41"/>
      <c r="C14" s="41"/>
      <c r="D14" s="58" t="s">
        <v>159</v>
      </c>
      <c r="E14" s="59"/>
      <c r="F14" s="60"/>
      <c r="G14" s="61"/>
      <c r="H14" s="61"/>
      <c r="I14" s="57"/>
      <c r="J14" s="57" t="str">
        <f t="shared" si="3"/>
        <v/>
      </c>
      <c r="K14" s="51"/>
      <c r="L14" s="51"/>
      <c r="M14" s="51"/>
      <c r="N14" s="51"/>
      <c r="O14" s="51"/>
      <c r="P14" s="51"/>
      <c r="Q14" s="51"/>
      <c r="R14" s="51"/>
      <c r="S14" s="51"/>
      <c r="T14" s="51"/>
      <c r="U14" s="51"/>
      <c r="V14" s="51"/>
      <c r="W14" s="51"/>
      <c r="X14" s="51"/>
      <c r="Y14" s="51"/>
      <c r="Z14" s="51"/>
      <c r="AA14" s="62"/>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row>
    <row r="15" spans="1:66" s="14" customFormat="1" ht="30" customHeight="1" thickBot="1" x14ac:dyDescent="0.3">
      <c r="A15" s="41"/>
      <c r="B15" s="41"/>
      <c r="C15" s="41"/>
      <c r="D15" s="58" t="s">
        <v>160</v>
      </c>
      <c r="E15" s="59"/>
      <c r="F15" s="60"/>
      <c r="G15" s="61"/>
      <c r="H15" s="61"/>
      <c r="I15" s="57"/>
      <c r="J15" s="57">
        <f t="shared" si="3"/>
        <v>5</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row>
    <row r="16" spans="1:66" s="14" customFormat="1" ht="30" customHeight="1" thickBot="1" x14ac:dyDescent="0.3">
      <c r="A16" s="36" t="s">
        <v>161</v>
      </c>
      <c r="B16" s="36"/>
      <c r="C16" s="36"/>
      <c r="D16" s="63" t="s">
        <v>162</v>
      </c>
      <c r="E16" s="64"/>
      <c r="F16" s="65"/>
      <c r="G16" s="66"/>
      <c r="H16" s="67"/>
      <c r="I16" s="57"/>
      <c r="J16" s="57">
        <f t="shared" si="3"/>
        <v>6</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row>
    <row r="17" spans="1:66" s="14" customFormat="1" ht="30" customHeight="1" thickBot="1" x14ac:dyDescent="0.3">
      <c r="A17" s="36"/>
      <c r="B17" s="36"/>
      <c r="C17" s="36"/>
      <c r="D17" s="68" t="s">
        <v>155</v>
      </c>
      <c r="E17" s="69"/>
      <c r="F17" s="70"/>
      <c r="G17" s="71"/>
      <c r="H17" s="71"/>
      <c r="I17" s="57"/>
      <c r="J17" s="57">
        <f t="shared" si="3"/>
        <v>4</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row>
    <row r="18" spans="1:66" s="14" customFormat="1" ht="30" customHeight="1" thickBot="1" x14ac:dyDescent="0.3">
      <c r="A18" s="41"/>
      <c r="B18" s="41"/>
      <c r="C18" s="41"/>
      <c r="D18" s="68" t="s">
        <v>157</v>
      </c>
      <c r="E18" s="69"/>
      <c r="F18" s="70"/>
      <c r="G18" s="71"/>
      <c r="H18" s="71"/>
      <c r="I18" s="57"/>
      <c r="J18" s="57">
        <f t="shared" si="3"/>
        <v>3</v>
      </c>
      <c r="K18" s="51"/>
      <c r="L18" s="51"/>
      <c r="M18" s="51"/>
      <c r="N18" s="51"/>
      <c r="O18" s="51"/>
      <c r="P18" s="51"/>
      <c r="Q18" s="51"/>
      <c r="R18" s="51"/>
      <c r="S18" s="51"/>
      <c r="T18" s="51"/>
      <c r="U18" s="51"/>
      <c r="V18" s="51"/>
      <c r="W18" s="62"/>
      <c r="X18" s="62"/>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row>
    <row r="19" spans="1:66" s="14" customFormat="1" ht="30" customHeight="1" thickBot="1" x14ac:dyDescent="0.3">
      <c r="A19" s="41"/>
      <c r="B19" s="41"/>
      <c r="C19" s="41"/>
      <c r="D19" s="68" t="s">
        <v>158</v>
      </c>
      <c r="E19" s="69"/>
      <c r="F19" s="70"/>
      <c r="G19" s="71"/>
      <c r="H19" s="71"/>
      <c r="I19" s="57"/>
      <c r="J19" s="57">
        <f t="shared" si="3"/>
        <v>4</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row>
    <row r="20" spans="1:66" s="14" customFormat="1" ht="30" customHeight="1" thickBot="1" x14ac:dyDescent="0.3">
      <c r="A20" s="41"/>
      <c r="B20" s="41"/>
      <c r="C20" s="41"/>
      <c r="D20" s="68" t="s">
        <v>159</v>
      </c>
      <c r="E20" s="69"/>
      <c r="F20" s="70"/>
      <c r="G20" s="71"/>
      <c r="H20" s="71"/>
      <c r="I20" s="57"/>
      <c r="J20" s="57" t="str">
        <f t="shared" si="3"/>
        <v/>
      </c>
      <c r="K20" s="51"/>
      <c r="L20" s="51"/>
      <c r="M20" s="51"/>
      <c r="N20" s="51"/>
      <c r="O20" s="51"/>
      <c r="P20" s="51"/>
      <c r="Q20" s="51"/>
      <c r="R20" s="51"/>
      <c r="S20" s="51"/>
      <c r="T20" s="51"/>
      <c r="U20" s="51"/>
      <c r="V20" s="51"/>
      <c r="W20" s="51"/>
      <c r="X20" s="51"/>
      <c r="Y20" s="51"/>
      <c r="Z20" s="51"/>
      <c r="AA20" s="62"/>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row>
    <row r="21" spans="1:66" s="14" customFormat="1" ht="30" customHeight="1" thickBot="1" x14ac:dyDescent="0.3">
      <c r="A21" s="41"/>
      <c r="B21" s="41"/>
      <c r="C21" s="41"/>
      <c r="D21" s="68" t="s">
        <v>160</v>
      </c>
      <c r="E21" s="69"/>
      <c r="F21" s="70"/>
      <c r="G21" s="71"/>
      <c r="H21" s="71"/>
      <c r="I21" s="57"/>
      <c r="J21" s="57">
        <f t="shared" si="3"/>
        <v>6</v>
      </c>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row>
    <row r="22" spans="1:66" s="14" customFormat="1" ht="30" customHeight="1" thickBot="1" x14ac:dyDescent="0.3">
      <c r="A22" s="41" t="s">
        <v>163</v>
      </c>
      <c r="B22" s="41"/>
      <c r="C22" s="41"/>
      <c r="D22" s="72" t="s">
        <v>164</v>
      </c>
      <c r="E22" s="73"/>
      <c r="F22" s="74"/>
      <c r="G22" s="75"/>
      <c r="H22" s="76"/>
      <c r="I22" s="57"/>
      <c r="J22" s="57">
        <f t="shared" si="3"/>
        <v>5</v>
      </c>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row>
    <row r="23" spans="1:66" s="14" customFormat="1" ht="30" customHeight="1" thickBot="1" x14ac:dyDescent="0.3">
      <c r="A23" s="41"/>
      <c r="B23" s="41"/>
      <c r="C23" s="41"/>
      <c r="D23" s="77" t="s">
        <v>155</v>
      </c>
      <c r="E23" s="78"/>
      <c r="F23" s="79"/>
      <c r="G23" s="80"/>
      <c r="H23" s="80"/>
      <c r="I23" s="57"/>
      <c r="J23" s="57">
        <f t="shared" si="3"/>
        <v>6</v>
      </c>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row>
    <row r="24" spans="1:66" s="14" customFormat="1" ht="30" customHeight="1" thickBot="1" x14ac:dyDescent="0.3">
      <c r="A24" s="41"/>
      <c r="B24" s="41"/>
      <c r="C24" s="41"/>
      <c r="D24" s="77" t="s">
        <v>157</v>
      </c>
      <c r="E24" s="78"/>
      <c r="F24" s="79"/>
      <c r="G24" s="80"/>
      <c r="H24" s="80"/>
      <c r="I24" s="57"/>
      <c r="J24" s="57">
        <f t="shared" si="3"/>
        <v>5</v>
      </c>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row>
    <row r="25" spans="1:66" s="14" customFormat="1" ht="30" customHeight="1" thickBot="1" x14ac:dyDescent="0.3">
      <c r="A25" s="41"/>
      <c r="B25" s="41"/>
      <c r="C25" s="41"/>
      <c r="D25" s="77" t="s">
        <v>158</v>
      </c>
      <c r="E25" s="78"/>
      <c r="F25" s="79"/>
      <c r="G25" s="80"/>
      <c r="H25" s="80"/>
      <c r="I25" s="57"/>
      <c r="J25" s="57">
        <f t="shared" si="3"/>
        <v>5</v>
      </c>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row>
    <row r="26" spans="1:66" s="14" customFormat="1" ht="30" customHeight="1" thickBot="1" x14ac:dyDescent="0.3">
      <c r="A26" s="41"/>
      <c r="B26" s="41"/>
      <c r="C26" s="41"/>
      <c r="D26" s="77" t="s">
        <v>159</v>
      </c>
      <c r="E26" s="78"/>
      <c r="F26" s="79"/>
      <c r="G26" s="80"/>
      <c r="H26" s="80"/>
      <c r="I26" s="57"/>
      <c r="J26" s="57" t="str">
        <f t="shared" si="3"/>
        <v/>
      </c>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row>
    <row r="27" spans="1:66" s="14" customFormat="1" ht="30" customHeight="1" thickBot="1" x14ac:dyDescent="0.3">
      <c r="A27" s="41"/>
      <c r="B27" s="41"/>
      <c r="C27" s="41"/>
      <c r="D27" s="77" t="s">
        <v>160</v>
      </c>
      <c r="E27" s="78"/>
      <c r="F27" s="79"/>
      <c r="G27" s="80"/>
      <c r="H27" s="80"/>
      <c r="I27" s="57"/>
      <c r="J27" s="57" t="e">
        <f t="shared" si="3"/>
        <v>#VALUE!</v>
      </c>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row>
    <row r="28" spans="1:66" s="14" customFormat="1" ht="30" customHeight="1" thickBot="1" x14ac:dyDescent="0.3">
      <c r="A28" s="41" t="s">
        <v>163</v>
      </c>
      <c r="B28" s="41"/>
      <c r="C28" s="41"/>
      <c r="D28" s="81" t="s">
        <v>165</v>
      </c>
      <c r="E28" s="82"/>
      <c r="F28" s="83"/>
      <c r="G28" s="84"/>
      <c r="H28" s="85"/>
      <c r="I28" s="57"/>
      <c r="J28" s="57" t="e">
        <f t="shared" si="3"/>
        <v>#VALUE!</v>
      </c>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29" spans="1:66" s="14" customFormat="1" ht="30" customHeight="1" thickBot="1" x14ac:dyDescent="0.3">
      <c r="A29" s="41"/>
      <c r="B29" s="41"/>
      <c r="C29" s="41"/>
      <c r="D29" s="86" t="s">
        <v>155</v>
      </c>
      <c r="E29" s="87"/>
      <c r="F29" s="88"/>
      <c r="G29" s="89" t="s">
        <v>166</v>
      </c>
      <c r="H29" s="89" t="s">
        <v>166</v>
      </c>
      <c r="I29" s="57"/>
      <c r="J29" s="57" t="e">
        <f t="shared" si="3"/>
        <v>#VALUE!</v>
      </c>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row>
    <row r="30" spans="1:66" s="14" customFormat="1" ht="30" customHeight="1" thickBot="1" x14ac:dyDescent="0.3">
      <c r="A30" s="41"/>
      <c r="B30" s="41"/>
      <c r="C30" s="41"/>
      <c r="D30" s="86" t="s">
        <v>157</v>
      </c>
      <c r="E30" s="87"/>
      <c r="F30" s="88"/>
      <c r="G30" s="89" t="s">
        <v>166</v>
      </c>
      <c r="H30" s="89" t="s">
        <v>166</v>
      </c>
      <c r="I30" s="57"/>
      <c r="J30" s="57" t="e">
        <f t="shared" si="3"/>
        <v>#VALUE!</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row>
    <row r="31" spans="1:66" s="14" customFormat="1" ht="30" customHeight="1" thickBot="1" x14ac:dyDescent="0.3">
      <c r="A31" s="41"/>
      <c r="B31" s="41"/>
      <c r="C31" s="41"/>
      <c r="D31" s="86" t="s">
        <v>158</v>
      </c>
      <c r="E31" s="87"/>
      <c r="F31" s="88"/>
      <c r="G31" s="89" t="s">
        <v>166</v>
      </c>
      <c r="H31" s="89" t="s">
        <v>166</v>
      </c>
      <c r="I31" s="57"/>
      <c r="J31" s="57" t="e">
        <f t="shared" si="3"/>
        <v>#VALUE!</v>
      </c>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row>
    <row r="32" spans="1:66" s="14" customFormat="1" ht="30" customHeight="1" thickBot="1" x14ac:dyDescent="0.3">
      <c r="A32" s="41"/>
      <c r="B32" s="41"/>
      <c r="C32" s="41"/>
      <c r="D32" s="86" t="s">
        <v>159</v>
      </c>
      <c r="E32" s="87"/>
      <c r="F32" s="88"/>
      <c r="G32" s="89" t="s">
        <v>166</v>
      </c>
      <c r="H32" s="89" t="s">
        <v>166</v>
      </c>
      <c r="I32" s="57"/>
      <c r="J32" s="57" t="str">
        <f t="shared" si="3"/>
        <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row>
    <row r="33" spans="1:66" s="14" customFormat="1" ht="30" customHeight="1" thickBot="1" x14ac:dyDescent="0.3">
      <c r="A33" s="41"/>
      <c r="B33" s="41"/>
      <c r="C33" s="41"/>
      <c r="D33" s="86" t="s">
        <v>160</v>
      </c>
      <c r="E33" s="87"/>
      <c r="F33" s="88"/>
      <c r="G33" s="89" t="s">
        <v>166</v>
      </c>
      <c r="H33" s="89" t="s">
        <v>166</v>
      </c>
      <c r="I33" s="57"/>
      <c r="J33" s="57" t="str">
        <f t="shared" si="3"/>
        <v/>
      </c>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row>
    <row r="34" spans="1:66" s="14" customFormat="1" ht="30" customHeight="1" thickBot="1" x14ac:dyDescent="0.3">
      <c r="A34" s="41" t="s">
        <v>167</v>
      </c>
      <c r="B34" s="41"/>
      <c r="C34" s="41"/>
      <c r="D34" s="90"/>
      <c r="E34" s="91"/>
      <c r="F34" s="92"/>
      <c r="G34" s="93"/>
      <c r="H34" s="93"/>
      <c r="I34" s="57"/>
      <c r="J34" s="57" t="str">
        <f t="shared" si="3"/>
        <v/>
      </c>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row>
    <row r="35" spans="1:66" s="14" customFormat="1" ht="30" customHeight="1" thickBot="1" x14ac:dyDescent="0.3">
      <c r="A35" s="36" t="s">
        <v>168</v>
      </c>
      <c r="B35" s="36"/>
      <c r="C35" s="36"/>
      <c r="D35" s="94" t="s">
        <v>169</v>
      </c>
      <c r="E35" s="95"/>
      <c r="F35" s="96"/>
      <c r="G35" s="97"/>
      <c r="H35" s="98"/>
      <c r="I35" s="99"/>
      <c r="J35" s="99" t="str">
        <f t="shared" si="3"/>
        <v/>
      </c>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row>
    <row r="36" spans="1:66" ht="30" customHeight="1" x14ac:dyDescent="0.25">
      <c r="I36" s="101"/>
    </row>
    <row r="37" spans="1:66" ht="30" customHeight="1" x14ac:dyDescent="0.25">
      <c r="E37" s="102"/>
      <c r="H37" s="103"/>
    </row>
    <row r="38" spans="1:66" ht="30" customHeight="1" x14ac:dyDescent="0.25">
      <c r="E38" s="104"/>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2.75" x14ac:dyDescent="0.2"/>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x14ac:dyDescent="0.2">
      <c r="A3" s="30" t="s">
        <v>137</v>
      </c>
      <c r="B3" s="29"/>
      <c r="C3" s="29"/>
      <c r="D3" s="29"/>
      <c r="E3" s="32"/>
    </row>
    <row r="4" spans="1:5" x14ac:dyDescent="0.2">
      <c r="A4" s="30" t="s">
        <v>2</v>
      </c>
      <c r="B4" s="30" t="s">
        <v>4</v>
      </c>
      <c r="C4" s="30" t="s">
        <v>51</v>
      </c>
      <c r="D4" s="30" t="s">
        <v>0</v>
      </c>
      <c r="E4" s="32" t="s">
        <v>134</v>
      </c>
    </row>
    <row r="5" spans="1:5" x14ac:dyDescent="0.2">
      <c r="A5" s="28" t="s">
        <v>11</v>
      </c>
      <c r="B5" s="28" t="s">
        <v>56</v>
      </c>
      <c r="C5" s="28" t="s">
        <v>53</v>
      </c>
      <c r="D5" s="28" t="s">
        <v>11</v>
      </c>
      <c r="E5" s="32">
        <v>1000</v>
      </c>
    </row>
    <row r="6" spans="1:5" x14ac:dyDescent="0.2">
      <c r="A6" s="34"/>
      <c r="B6" s="34"/>
      <c r="C6" s="28" t="s">
        <v>52</v>
      </c>
      <c r="D6" s="28" t="s">
        <v>15</v>
      </c>
      <c r="E6" s="32">
        <v>1000</v>
      </c>
    </row>
    <row r="7" spans="1:5" x14ac:dyDescent="0.2">
      <c r="A7" s="34"/>
      <c r="B7" s="34"/>
      <c r="C7" s="28" t="s">
        <v>54</v>
      </c>
      <c r="D7" s="28" t="s">
        <v>14</v>
      </c>
      <c r="E7" s="32">
        <v>2000</v>
      </c>
    </row>
    <row r="8" spans="1:5" x14ac:dyDescent="0.2">
      <c r="A8" s="28" t="s">
        <v>15</v>
      </c>
      <c r="B8" s="28" t="s">
        <v>67</v>
      </c>
      <c r="C8" s="28" t="s">
        <v>132</v>
      </c>
      <c r="D8" s="28" t="s">
        <v>16</v>
      </c>
      <c r="E8" s="32">
        <v>2000</v>
      </c>
    </row>
    <row r="9" spans="1:5" x14ac:dyDescent="0.2">
      <c r="A9" s="34"/>
      <c r="B9" s="28" t="s">
        <v>56</v>
      </c>
      <c r="C9" s="28" t="s">
        <v>129</v>
      </c>
      <c r="D9" s="28" t="s">
        <v>8</v>
      </c>
      <c r="E9" s="32">
        <v>700</v>
      </c>
    </row>
    <row r="10" spans="1:5" x14ac:dyDescent="0.2">
      <c r="A10" s="34"/>
      <c r="B10" s="28" t="s">
        <v>135</v>
      </c>
      <c r="C10" s="28" t="s">
        <v>57</v>
      </c>
      <c r="D10" s="28">
        <v>2</v>
      </c>
      <c r="E10" s="32"/>
    </row>
    <row r="11" spans="1:5" x14ac:dyDescent="0.2">
      <c r="A11" s="28" t="s">
        <v>118</v>
      </c>
      <c r="B11" s="28" t="s">
        <v>127</v>
      </c>
      <c r="C11" s="28" t="s">
        <v>116</v>
      </c>
      <c r="D11" s="28" t="s">
        <v>118</v>
      </c>
      <c r="E11" s="32">
        <v>4000</v>
      </c>
    </row>
    <row r="12" spans="1:5" x14ac:dyDescent="0.2">
      <c r="A12" s="28" t="s">
        <v>119</v>
      </c>
      <c r="B12" s="28" t="s">
        <v>126</v>
      </c>
      <c r="C12" s="28" t="s">
        <v>117</v>
      </c>
      <c r="D12" s="28" t="s">
        <v>119</v>
      </c>
      <c r="E12" s="32">
        <v>1000</v>
      </c>
    </row>
    <row r="13" spans="1:5" x14ac:dyDescent="0.2">
      <c r="A13" s="28" t="s">
        <v>120</v>
      </c>
      <c r="B13" s="28" t="s">
        <v>126</v>
      </c>
      <c r="C13" s="28" t="s">
        <v>121</v>
      </c>
      <c r="D13" s="28" t="s">
        <v>120</v>
      </c>
      <c r="E13" s="32">
        <v>1000</v>
      </c>
    </row>
    <row r="14" spans="1:5" x14ac:dyDescent="0.2">
      <c r="A14" s="28" t="s">
        <v>7</v>
      </c>
      <c r="B14" s="28" t="s">
        <v>56</v>
      </c>
      <c r="C14" s="28" t="s">
        <v>58</v>
      </c>
      <c r="D14" s="28" t="s">
        <v>7</v>
      </c>
      <c r="E14" s="32">
        <v>2000</v>
      </c>
    </row>
    <row r="15" spans="1:5" x14ac:dyDescent="0.2">
      <c r="A15" s="28" t="s">
        <v>8</v>
      </c>
      <c r="B15" s="28" t="s">
        <v>56</v>
      </c>
      <c r="C15" s="28" t="s">
        <v>63</v>
      </c>
      <c r="D15" s="28" t="s">
        <v>9</v>
      </c>
      <c r="E15" s="32">
        <v>400</v>
      </c>
    </row>
    <row r="16" spans="1:5" x14ac:dyDescent="0.2">
      <c r="A16" s="34"/>
      <c r="B16" s="34"/>
      <c r="C16" s="28" t="s">
        <v>59</v>
      </c>
      <c r="D16" s="28" t="s">
        <v>43</v>
      </c>
      <c r="E16" s="32">
        <v>500</v>
      </c>
    </row>
    <row r="17" spans="1:5" x14ac:dyDescent="0.2">
      <c r="A17" s="34"/>
      <c r="B17" s="34"/>
      <c r="C17" s="28" t="s">
        <v>62</v>
      </c>
      <c r="D17" s="28" t="s">
        <v>66</v>
      </c>
      <c r="E17" s="32">
        <v>200</v>
      </c>
    </row>
    <row r="18" spans="1:5" x14ac:dyDescent="0.2">
      <c r="A18" s="34"/>
      <c r="B18" s="34"/>
      <c r="C18" s="28" t="s">
        <v>61</v>
      </c>
      <c r="D18" s="28" t="s">
        <v>65</v>
      </c>
      <c r="E18" s="32">
        <v>800</v>
      </c>
    </row>
    <row r="19" spans="1:5" x14ac:dyDescent="0.2">
      <c r="A19" s="34"/>
      <c r="B19" s="34"/>
      <c r="C19" s="28" t="s">
        <v>60</v>
      </c>
      <c r="D19" s="28" t="s">
        <v>44</v>
      </c>
      <c r="E19" s="32">
        <v>1000</v>
      </c>
    </row>
    <row r="20" spans="1:5" x14ac:dyDescent="0.2">
      <c r="A20" s="28" t="s">
        <v>9</v>
      </c>
      <c r="B20" s="28" t="s">
        <v>135</v>
      </c>
      <c r="C20" s="28" t="s">
        <v>64</v>
      </c>
      <c r="D20" s="28">
        <v>3</v>
      </c>
      <c r="E20" s="32"/>
    </row>
    <row r="21" spans="1:5" x14ac:dyDescent="0.2">
      <c r="A21" s="28" t="s">
        <v>16</v>
      </c>
      <c r="B21" s="28" t="s">
        <v>67</v>
      </c>
      <c r="C21" s="28" t="s">
        <v>69</v>
      </c>
      <c r="D21" s="28" t="s">
        <v>130</v>
      </c>
      <c r="E21" s="32">
        <v>500</v>
      </c>
    </row>
    <row r="22" spans="1:5" x14ac:dyDescent="0.2">
      <c r="A22" s="28" t="s">
        <v>130</v>
      </c>
      <c r="B22" s="28" t="s">
        <v>67</v>
      </c>
      <c r="C22" s="28" t="s">
        <v>70</v>
      </c>
      <c r="D22" s="28" t="s">
        <v>71</v>
      </c>
      <c r="E22" s="32">
        <v>500</v>
      </c>
    </row>
    <row r="23" spans="1:5" x14ac:dyDescent="0.2">
      <c r="A23" s="28" t="s">
        <v>71</v>
      </c>
      <c r="B23" s="28" t="s">
        <v>67</v>
      </c>
      <c r="C23" s="28" t="s">
        <v>133</v>
      </c>
      <c r="D23" s="28" t="s">
        <v>17</v>
      </c>
      <c r="E23" s="32">
        <v>1000</v>
      </c>
    </row>
    <row r="24" spans="1:5" x14ac:dyDescent="0.2">
      <c r="A24" s="28" t="s">
        <v>17</v>
      </c>
      <c r="B24" s="28" t="s">
        <v>67</v>
      </c>
      <c r="C24" s="28" t="s">
        <v>68</v>
      </c>
      <c r="D24" s="28" t="s">
        <v>131</v>
      </c>
      <c r="E24" s="32">
        <v>500</v>
      </c>
    </row>
    <row r="25" spans="1:5" x14ac:dyDescent="0.2">
      <c r="A25" s="28" t="s">
        <v>131</v>
      </c>
      <c r="B25" s="28" t="s">
        <v>135</v>
      </c>
      <c r="C25" s="28" t="s">
        <v>72</v>
      </c>
      <c r="D25" s="28">
        <v>4</v>
      </c>
      <c r="E25" s="32"/>
    </row>
    <row r="26" spans="1:5" x14ac:dyDescent="0.2">
      <c r="A26" s="28" t="s">
        <v>139</v>
      </c>
      <c r="B26" s="28" t="s">
        <v>67</v>
      </c>
      <c r="C26" s="28" t="s">
        <v>138</v>
      </c>
      <c r="D26" s="28" t="s">
        <v>139</v>
      </c>
      <c r="E26" s="32">
        <v>700</v>
      </c>
    </row>
    <row r="27" spans="1:5" x14ac:dyDescent="0.2">
      <c r="A27" s="28" t="s">
        <v>10</v>
      </c>
      <c r="B27" s="28" t="s">
        <v>74</v>
      </c>
      <c r="C27" s="28" t="s">
        <v>73</v>
      </c>
      <c r="D27" s="28" t="s">
        <v>10</v>
      </c>
      <c r="E27" s="32">
        <v>500</v>
      </c>
    </row>
    <row r="28" spans="1:5" x14ac:dyDescent="0.2">
      <c r="A28" s="28" t="s">
        <v>76</v>
      </c>
      <c r="B28" s="28" t="s">
        <v>74</v>
      </c>
      <c r="C28" s="28" t="s">
        <v>75</v>
      </c>
      <c r="D28" s="28" t="s">
        <v>76</v>
      </c>
      <c r="E28" s="32">
        <v>5000</v>
      </c>
    </row>
    <row r="29" spans="1:5" x14ac:dyDescent="0.2">
      <c r="A29" s="28" t="s">
        <v>34</v>
      </c>
      <c r="B29" s="28" t="s">
        <v>74</v>
      </c>
      <c r="C29" s="28" t="s">
        <v>77</v>
      </c>
      <c r="D29" s="28" t="s">
        <v>34</v>
      </c>
      <c r="E29" s="32">
        <v>700</v>
      </c>
    </row>
    <row r="30" spans="1:5" x14ac:dyDescent="0.2">
      <c r="A30" s="28" t="s">
        <v>46</v>
      </c>
      <c r="B30" s="28" t="s">
        <v>74</v>
      </c>
      <c r="C30" s="28" t="s">
        <v>80</v>
      </c>
      <c r="D30" s="28" t="s">
        <v>46</v>
      </c>
      <c r="E30" s="32">
        <v>500</v>
      </c>
    </row>
    <row r="31" spans="1:5" x14ac:dyDescent="0.2">
      <c r="A31" s="28" t="s">
        <v>78</v>
      </c>
      <c r="B31" s="28" t="s">
        <v>74</v>
      </c>
      <c r="C31" s="28" t="s">
        <v>81</v>
      </c>
      <c r="D31" s="28" t="s">
        <v>78</v>
      </c>
      <c r="E31" s="32">
        <v>300</v>
      </c>
    </row>
    <row r="32" spans="1:5" x14ac:dyDescent="0.2">
      <c r="A32" s="28" t="s">
        <v>79</v>
      </c>
      <c r="B32" s="28" t="s">
        <v>74</v>
      </c>
      <c r="C32" s="28" t="s">
        <v>82</v>
      </c>
      <c r="D32" s="28" t="s">
        <v>79</v>
      </c>
      <c r="E32" s="32">
        <v>1000</v>
      </c>
    </row>
    <row r="33" spans="1:5" x14ac:dyDescent="0.2">
      <c r="A33" s="28" t="s">
        <v>18</v>
      </c>
      <c r="B33" s="28" t="s">
        <v>122</v>
      </c>
      <c r="C33" s="28" t="s">
        <v>83</v>
      </c>
      <c r="D33" s="28" t="s">
        <v>18</v>
      </c>
      <c r="E33" s="32">
        <v>3000</v>
      </c>
    </row>
    <row r="34" spans="1:5" x14ac:dyDescent="0.2">
      <c r="A34" s="28" t="s">
        <v>19</v>
      </c>
      <c r="B34" s="28" t="s">
        <v>122</v>
      </c>
      <c r="C34" s="28" t="s">
        <v>84</v>
      </c>
      <c r="D34" s="28" t="s">
        <v>19</v>
      </c>
      <c r="E34" s="32">
        <v>1000</v>
      </c>
    </row>
    <row r="35" spans="1:5" x14ac:dyDescent="0.2">
      <c r="A35" s="28" t="s">
        <v>20</v>
      </c>
      <c r="B35" s="28" t="s">
        <v>122</v>
      </c>
      <c r="C35" s="28" t="s">
        <v>85</v>
      </c>
      <c r="D35" s="28" t="s">
        <v>20</v>
      </c>
      <c r="E35" s="32">
        <v>1000</v>
      </c>
    </row>
    <row r="36" spans="1:5" x14ac:dyDescent="0.2">
      <c r="A36" s="28" t="s">
        <v>90</v>
      </c>
      <c r="B36" s="28" t="s">
        <v>123</v>
      </c>
      <c r="C36" s="28" t="s">
        <v>87</v>
      </c>
      <c r="D36" s="28" t="s">
        <v>90</v>
      </c>
      <c r="E36" s="32">
        <v>30000</v>
      </c>
    </row>
    <row r="37" spans="1:5" x14ac:dyDescent="0.2">
      <c r="A37" s="28" t="s">
        <v>91</v>
      </c>
      <c r="B37" s="28" t="s">
        <v>124</v>
      </c>
      <c r="C37" s="28" t="s">
        <v>88</v>
      </c>
      <c r="D37" s="28" t="s">
        <v>91</v>
      </c>
      <c r="E37" s="32">
        <v>700</v>
      </c>
    </row>
    <row r="38" spans="1:5" x14ac:dyDescent="0.2">
      <c r="A38" s="28" t="s">
        <v>92</v>
      </c>
      <c r="B38" s="28" t="s">
        <v>122</v>
      </c>
      <c r="C38" s="28" t="s">
        <v>89</v>
      </c>
      <c r="D38" s="28" t="s">
        <v>92</v>
      </c>
      <c r="E38" s="32">
        <v>500</v>
      </c>
    </row>
    <row r="39" spans="1:5" x14ac:dyDescent="0.2">
      <c r="A39" s="28" t="s">
        <v>97</v>
      </c>
      <c r="B39" s="28" t="s">
        <v>125</v>
      </c>
      <c r="C39" s="28" t="s">
        <v>94</v>
      </c>
      <c r="D39" s="28" t="s">
        <v>97</v>
      </c>
      <c r="E39" s="32">
        <v>15000</v>
      </c>
    </row>
    <row r="40" spans="1:5" x14ac:dyDescent="0.2">
      <c r="A40" s="28" t="s">
        <v>98</v>
      </c>
      <c r="B40" s="28" t="s">
        <v>126</v>
      </c>
      <c r="C40" s="28" t="s">
        <v>95</v>
      </c>
      <c r="D40" s="28" t="s">
        <v>98</v>
      </c>
      <c r="E40" s="32">
        <v>10000</v>
      </c>
    </row>
    <row r="41" spans="1:5" x14ac:dyDescent="0.2">
      <c r="A41" s="28" t="s">
        <v>100</v>
      </c>
      <c r="B41" s="28" t="s">
        <v>126</v>
      </c>
      <c r="C41" s="28" t="s">
        <v>96</v>
      </c>
      <c r="D41" s="28" t="s">
        <v>100</v>
      </c>
      <c r="E41" s="32">
        <v>10000</v>
      </c>
    </row>
    <row r="42" spans="1:5" x14ac:dyDescent="0.2">
      <c r="A42" s="28" t="s">
        <v>105</v>
      </c>
      <c r="B42" s="28" t="s">
        <v>128</v>
      </c>
      <c r="C42" s="28" t="s">
        <v>102</v>
      </c>
      <c r="D42" s="28" t="s">
        <v>105</v>
      </c>
      <c r="E42" s="32">
        <v>5000</v>
      </c>
    </row>
    <row r="43" spans="1:5" x14ac:dyDescent="0.2">
      <c r="A43" s="28" t="s">
        <v>106</v>
      </c>
      <c r="B43" s="28" t="s">
        <v>128</v>
      </c>
      <c r="C43" s="28" t="s">
        <v>103</v>
      </c>
      <c r="D43" s="28" t="s">
        <v>106</v>
      </c>
      <c r="E43" s="32">
        <v>4000</v>
      </c>
    </row>
    <row r="44" spans="1:5" x14ac:dyDescent="0.2">
      <c r="A44" s="28" t="s">
        <v>107</v>
      </c>
      <c r="B44" s="28" t="s">
        <v>128</v>
      </c>
      <c r="C44" s="28" t="s">
        <v>104</v>
      </c>
      <c r="D44" s="28" t="s">
        <v>107</v>
      </c>
      <c r="E44" s="32">
        <v>1000</v>
      </c>
    </row>
    <row r="45" spans="1:5" x14ac:dyDescent="0.2">
      <c r="A45" s="28" t="s">
        <v>112</v>
      </c>
      <c r="B45" s="28" t="s">
        <v>128</v>
      </c>
      <c r="C45" s="28" t="s">
        <v>109</v>
      </c>
      <c r="D45" s="28" t="s">
        <v>112</v>
      </c>
      <c r="E45" s="32">
        <v>10000</v>
      </c>
    </row>
    <row r="46" spans="1:5" x14ac:dyDescent="0.2">
      <c r="A46" s="28" t="s">
        <v>113</v>
      </c>
      <c r="B46" s="28" t="s">
        <v>128</v>
      </c>
      <c r="C46" s="28" t="s">
        <v>110</v>
      </c>
      <c r="D46" s="28" t="s">
        <v>113</v>
      </c>
      <c r="E46" s="32">
        <v>20000</v>
      </c>
    </row>
    <row r="47" spans="1:5" x14ac:dyDescent="0.2">
      <c r="A47" s="28" t="s">
        <v>114</v>
      </c>
      <c r="B47" s="28" t="s">
        <v>128</v>
      </c>
      <c r="C47" s="28" t="s">
        <v>111</v>
      </c>
      <c r="D47" s="28" t="s">
        <v>114</v>
      </c>
      <c r="E47" s="32">
        <v>10000</v>
      </c>
    </row>
    <row r="48" spans="1:5" x14ac:dyDescent="0.2">
      <c r="A48" s="28" t="s">
        <v>135</v>
      </c>
      <c r="B48" s="28" t="s">
        <v>135</v>
      </c>
      <c r="C48" s="28" t="s">
        <v>115</v>
      </c>
      <c r="D48" s="28">
        <v>10</v>
      </c>
      <c r="E48" s="32"/>
    </row>
    <row r="49" spans="1:5" x14ac:dyDescent="0.2">
      <c r="A49" s="34"/>
      <c r="B49" s="34"/>
      <c r="C49" s="28" t="s">
        <v>55</v>
      </c>
      <c r="D49" s="28">
        <v>1</v>
      </c>
      <c r="E49" s="32"/>
    </row>
    <row r="50" spans="1:5" x14ac:dyDescent="0.2">
      <c r="A50" s="34"/>
      <c r="B50" s="34"/>
      <c r="C50" s="28" t="s">
        <v>62</v>
      </c>
      <c r="D50" s="28">
        <v>5</v>
      </c>
      <c r="E50" s="32"/>
    </row>
    <row r="51" spans="1:5" x14ac:dyDescent="0.2">
      <c r="A51" s="34"/>
      <c r="B51" s="34"/>
      <c r="C51" s="28" t="s">
        <v>93</v>
      </c>
      <c r="D51" s="28">
        <v>7</v>
      </c>
      <c r="E51" s="32"/>
    </row>
    <row r="52" spans="1:5" x14ac:dyDescent="0.2">
      <c r="A52" s="34"/>
      <c r="B52" s="34"/>
      <c r="C52" s="28" t="s">
        <v>108</v>
      </c>
      <c r="D52" s="28">
        <v>9</v>
      </c>
      <c r="E52" s="32"/>
    </row>
    <row r="53" spans="1:5" x14ac:dyDescent="0.2">
      <c r="A53" s="34"/>
      <c r="B53" s="34"/>
      <c r="C53" s="28" t="s">
        <v>101</v>
      </c>
      <c r="D53" s="28">
        <v>8</v>
      </c>
      <c r="E53" s="32"/>
    </row>
    <row r="54" spans="1:5" x14ac:dyDescent="0.2">
      <c r="A54" s="34"/>
      <c r="B54" s="34"/>
      <c r="C54" s="28" t="s">
        <v>86</v>
      </c>
      <c r="D54" s="28">
        <v>6</v>
      </c>
      <c r="E54" s="32"/>
    </row>
    <row r="55" spans="1:5" x14ac:dyDescent="0.2">
      <c r="A55" s="31" t="s">
        <v>136</v>
      </c>
      <c r="B55" s="35"/>
      <c r="C55" s="35"/>
      <c r="D55" s="35"/>
      <c r="E55" s="33">
        <v>150000</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x14ac:dyDescent="0.2"/>
  <cols>
    <col min="1" max="1" width="3.42578125" customWidth="1"/>
    <col min="2" max="2" width="13" style="1" customWidth="1"/>
    <col min="3" max="3" width="78.42578125" style="3"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x14ac:dyDescent="0.25">
      <c r="B2" s="4" t="s">
        <v>36</v>
      </c>
    </row>
    <row r="4" spans="2:27" ht="13.5" thickBot="1" x14ac:dyDescent="0.25"/>
    <row r="5" spans="2:27" s="14" customFormat="1" ht="16.5" thickBot="1" x14ac:dyDescent="0.25">
      <c r="B5" s="17" t="s">
        <v>0</v>
      </c>
      <c r="C5" s="18" t="s">
        <v>1</v>
      </c>
      <c r="D5" s="128"/>
      <c r="E5" s="128"/>
      <c r="F5" s="128"/>
      <c r="G5" s="128"/>
      <c r="H5" s="128"/>
      <c r="I5" s="128"/>
      <c r="J5" s="128"/>
      <c r="K5" s="128"/>
      <c r="L5" s="128"/>
      <c r="M5" s="128"/>
      <c r="N5" s="128"/>
      <c r="O5" s="128"/>
      <c r="P5" s="128"/>
      <c r="Q5" s="128"/>
      <c r="R5" s="128"/>
      <c r="S5" s="128"/>
      <c r="T5" s="128"/>
      <c r="U5" s="128"/>
      <c r="V5" s="128"/>
      <c r="W5" s="128"/>
      <c r="X5" s="129"/>
      <c r="Y5" s="19"/>
      <c r="Z5" s="19"/>
      <c r="AA5" s="20"/>
    </row>
    <row r="6" spans="2:27" ht="13.5" thickBot="1" x14ac:dyDescent="0.25">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
      <c r="B7" s="21"/>
      <c r="C7"/>
      <c r="D7" s="130" t="s">
        <v>37</v>
      </c>
      <c r="E7" s="131"/>
      <c r="F7" s="131"/>
      <c r="G7" s="132"/>
      <c r="H7" s="133" t="s">
        <v>38</v>
      </c>
      <c r="I7" s="131"/>
      <c r="J7" s="131"/>
      <c r="K7" s="132"/>
      <c r="L7" s="133" t="s">
        <v>39</v>
      </c>
      <c r="M7" s="131"/>
      <c r="N7" s="131"/>
      <c r="O7" s="132"/>
      <c r="P7" s="133" t="s">
        <v>40</v>
      </c>
      <c r="Q7" s="131"/>
      <c r="R7" s="131"/>
      <c r="S7" s="132"/>
      <c r="T7" s="133" t="s">
        <v>41</v>
      </c>
      <c r="U7" s="131"/>
      <c r="V7" s="131"/>
      <c r="W7" s="132"/>
      <c r="X7" s="133" t="s">
        <v>42</v>
      </c>
      <c r="Y7" s="131"/>
      <c r="Z7" s="131"/>
      <c r="AA7" s="132"/>
    </row>
    <row r="8" spans="2:27" s="10" customFormat="1" ht="15.75" x14ac:dyDescent="0.2">
      <c r="B8" s="11" t="s">
        <v>11</v>
      </c>
      <c r="C8" s="9" t="s">
        <v>12</v>
      </c>
      <c r="D8" s="125">
        <v>30000</v>
      </c>
      <c r="E8" s="126"/>
      <c r="F8" s="126"/>
      <c r="G8" s="127"/>
      <c r="H8" s="125"/>
      <c r="I8" s="126"/>
      <c r="J8" s="126"/>
      <c r="K8" s="127"/>
      <c r="L8" s="125"/>
      <c r="M8" s="126"/>
      <c r="N8" s="126"/>
      <c r="O8" s="127"/>
      <c r="P8" s="125"/>
      <c r="Q8" s="126"/>
      <c r="R8" s="126"/>
      <c r="S8" s="127"/>
      <c r="T8" s="125"/>
      <c r="U8" s="126"/>
      <c r="V8" s="126"/>
      <c r="W8" s="127"/>
      <c r="X8" s="125"/>
      <c r="Y8" s="126"/>
      <c r="Z8" s="126"/>
      <c r="AA8" s="127"/>
    </row>
    <row r="9" spans="2:27" s="10" customFormat="1" ht="15.75" x14ac:dyDescent="0.2">
      <c r="B9" s="11" t="s">
        <v>14</v>
      </c>
      <c r="C9" s="9" t="s">
        <v>21</v>
      </c>
      <c r="D9" s="125"/>
      <c r="E9" s="126"/>
      <c r="F9" s="126"/>
      <c r="G9" s="127"/>
      <c r="H9" s="125">
        <v>5000</v>
      </c>
      <c r="I9" s="126"/>
      <c r="J9" s="126"/>
      <c r="K9" s="127"/>
      <c r="L9" s="125">
        <v>5000</v>
      </c>
      <c r="M9" s="126"/>
      <c r="N9" s="126"/>
      <c r="O9" s="127"/>
      <c r="P9" s="125">
        <v>5000</v>
      </c>
      <c r="Q9" s="126"/>
      <c r="R9" s="126"/>
      <c r="S9" s="127"/>
      <c r="T9" s="125">
        <v>5000</v>
      </c>
      <c r="U9" s="126"/>
      <c r="V9" s="126"/>
      <c r="W9" s="127"/>
      <c r="X9" s="125"/>
      <c r="Y9" s="126"/>
      <c r="Z9" s="126"/>
      <c r="AA9" s="127"/>
    </row>
    <row r="10" spans="2:27" s="10" customFormat="1" ht="16.5" thickBot="1" x14ac:dyDescent="0.25">
      <c r="B10" s="11" t="s">
        <v>15</v>
      </c>
      <c r="C10" s="9" t="s">
        <v>22</v>
      </c>
      <c r="D10" s="125"/>
      <c r="E10" s="126"/>
      <c r="F10" s="126"/>
      <c r="G10" s="127"/>
      <c r="H10" s="125"/>
      <c r="I10" s="126"/>
      <c r="J10" s="126"/>
      <c r="K10" s="127"/>
      <c r="L10" s="125"/>
      <c r="M10" s="126"/>
      <c r="N10" s="126"/>
      <c r="O10" s="127"/>
      <c r="P10" s="125"/>
      <c r="Q10" s="126"/>
      <c r="R10" s="126"/>
      <c r="S10" s="127"/>
      <c r="T10" s="125"/>
      <c r="U10" s="126"/>
      <c r="V10" s="126"/>
      <c r="W10" s="127"/>
      <c r="X10" s="125">
        <v>10000</v>
      </c>
      <c r="Y10" s="126"/>
      <c r="Z10" s="126"/>
      <c r="AA10" s="127"/>
    </row>
    <row r="11" spans="2:27" ht="15.75" x14ac:dyDescent="0.2">
      <c r="B11" s="12">
        <v>2</v>
      </c>
      <c r="C11" s="13" t="s">
        <v>26</v>
      </c>
      <c r="D11" s="125"/>
      <c r="E11" s="126"/>
      <c r="F11" s="126"/>
      <c r="G11" s="127"/>
      <c r="H11" s="125"/>
      <c r="I11" s="126"/>
      <c r="J11" s="126"/>
      <c r="K11" s="127"/>
      <c r="L11" s="125">
        <v>20000</v>
      </c>
      <c r="M11" s="126"/>
      <c r="N11" s="126"/>
      <c r="O11" s="127"/>
      <c r="P11" s="125">
        <v>40000</v>
      </c>
      <c r="Q11" s="126"/>
      <c r="R11" s="126"/>
      <c r="S11" s="127"/>
      <c r="T11" s="125">
        <v>10000</v>
      </c>
      <c r="U11" s="126"/>
      <c r="V11" s="126"/>
      <c r="W11" s="127"/>
      <c r="X11" s="125">
        <v>10000</v>
      </c>
      <c r="Y11" s="126"/>
      <c r="Z11" s="126"/>
      <c r="AA11" s="127"/>
    </row>
    <row r="12" spans="2:27" ht="15.75" x14ac:dyDescent="0.2">
      <c r="B12" s="6" t="s">
        <v>16</v>
      </c>
      <c r="C12" s="5" t="s">
        <v>32</v>
      </c>
      <c r="D12" s="125"/>
      <c r="E12" s="126"/>
      <c r="F12" s="126"/>
      <c r="G12" s="127"/>
      <c r="H12" s="134">
        <v>10000</v>
      </c>
      <c r="I12" s="126"/>
      <c r="J12" s="126"/>
      <c r="K12" s="127"/>
      <c r="L12" s="125">
        <v>25000</v>
      </c>
      <c r="M12" s="126"/>
      <c r="N12" s="126"/>
      <c r="O12" s="127"/>
      <c r="P12" s="125">
        <v>25000</v>
      </c>
      <c r="Q12" s="126"/>
      <c r="R12" s="126"/>
      <c r="S12" s="127"/>
      <c r="T12" s="125">
        <v>25000</v>
      </c>
      <c r="U12" s="126"/>
      <c r="V12" s="126"/>
      <c r="W12" s="127"/>
      <c r="X12" s="125">
        <v>5000</v>
      </c>
      <c r="Y12" s="126"/>
      <c r="Z12" s="126"/>
      <c r="AA12" s="127"/>
    </row>
    <row r="13" spans="2:27" s="8" customFormat="1" ht="16.5" thickBot="1" x14ac:dyDescent="0.25">
      <c r="B13" s="6" t="s">
        <v>17</v>
      </c>
      <c r="C13" s="5" t="s">
        <v>33</v>
      </c>
      <c r="D13" s="125"/>
      <c r="E13" s="126"/>
      <c r="F13" s="126"/>
      <c r="G13" s="127"/>
      <c r="H13" s="125"/>
      <c r="I13" s="126"/>
      <c r="J13" s="126"/>
      <c r="K13" s="127"/>
      <c r="L13" s="125">
        <v>15000</v>
      </c>
      <c r="M13" s="126"/>
      <c r="N13" s="126"/>
      <c r="O13" s="127"/>
      <c r="P13" s="125">
        <v>15000</v>
      </c>
      <c r="Q13" s="126"/>
      <c r="R13" s="126"/>
      <c r="S13" s="127"/>
      <c r="T13" s="125">
        <v>20000</v>
      </c>
      <c r="U13" s="126"/>
      <c r="V13" s="126"/>
      <c r="W13" s="127"/>
      <c r="X13" s="125">
        <v>10000</v>
      </c>
      <c r="Y13" s="126"/>
      <c r="Z13" s="126"/>
      <c r="AA13" s="127"/>
    </row>
    <row r="14" spans="2:27" s="7" customFormat="1" ht="15.75" x14ac:dyDescent="0.2">
      <c r="B14" s="12">
        <v>4</v>
      </c>
      <c r="C14" s="13" t="s">
        <v>27</v>
      </c>
      <c r="D14" s="125"/>
      <c r="E14" s="126"/>
      <c r="F14" s="126"/>
      <c r="G14" s="127"/>
      <c r="H14" s="125"/>
      <c r="I14" s="126"/>
      <c r="J14" s="126"/>
      <c r="K14" s="127"/>
      <c r="L14" s="125"/>
      <c r="M14" s="126"/>
      <c r="N14" s="126"/>
      <c r="O14" s="127"/>
      <c r="P14" s="125"/>
      <c r="Q14" s="126"/>
      <c r="R14" s="126"/>
      <c r="S14" s="127"/>
      <c r="T14" s="125"/>
      <c r="U14" s="126"/>
      <c r="V14" s="126"/>
      <c r="W14" s="127"/>
      <c r="X14" s="125">
        <v>7000</v>
      </c>
      <c r="Y14" s="126"/>
      <c r="Z14" s="126"/>
      <c r="AA14" s="127"/>
    </row>
    <row r="15" spans="2:27" s="7" customFormat="1" ht="15.75" x14ac:dyDescent="0.2">
      <c r="B15" s="6" t="s">
        <v>18</v>
      </c>
      <c r="C15" s="5" t="s">
        <v>23</v>
      </c>
      <c r="D15" s="125"/>
      <c r="E15" s="126"/>
      <c r="F15" s="126"/>
      <c r="G15" s="127"/>
      <c r="H15" s="125"/>
      <c r="I15" s="126"/>
      <c r="J15" s="126"/>
      <c r="K15" s="127"/>
      <c r="L15" s="125"/>
      <c r="M15" s="126"/>
      <c r="N15" s="126"/>
      <c r="O15" s="127"/>
      <c r="P15" s="125"/>
      <c r="Q15" s="126"/>
      <c r="R15" s="126"/>
      <c r="S15" s="127"/>
      <c r="T15" s="125">
        <v>4000</v>
      </c>
      <c r="U15" s="126"/>
      <c r="V15" s="126"/>
      <c r="W15" s="127"/>
      <c r="X15" s="125">
        <v>4000</v>
      </c>
      <c r="Y15" s="126"/>
      <c r="Z15" s="126"/>
      <c r="AA15" s="127"/>
    </row>
    <row r="16" spans="2:27" ht="15.75" x14ac:dyDescent="0.2">
      <c r="B16" s="6" t="s">
        <v>19</v>
      </c>
      <c r="C16" s="5" t="s">
        <v>24</v>
      </c>
      <c r="D16" s="125"/>
      <c r="E16" s="126"/>
      <c r="F16" s="126"/>
      <c r="G16" s="127"/>
      <c r="H16" s="125"/>
      <c r="I16" s="126"/>
      <c r="J16" s="126"/>
      <c r="K16" s="127"/>
      <c r="L16" s="125"/>
      <c r="M16" s="126"/>
      <c r="N16" s="126"/>
      <c r="O16" s="127"/>
      <c r="P16" s="125"/>
      <c r="Q16" s="126"/>
      <c r="R16" s="126"/>
      <c r="S16" s="127"/>
      <c r="T16" s="125">
        <v>2500</v>
      </c>
      <c r="U16" s="126"/>
      <c r="V16" s="126"/>
      <c r="W16" s="127"/>
      <c r="X16" s="125">
        <v>2500</v>
      </c>
      <c r="Y16" s="126"/>
      <c r="Z16" s="126"/>
      <c r="AA16" s="127"/>
    </row>
    <row r="17" spans="2:27" s="8" customFormat="1" ht="15.75" x14ac:dyDescent="0.2">
      <c r="B17" s="6" t="s">
        <v>20</v>
      </c>
      <c r="C17" s="5" t="s">
        <v>25</v>
      </c>
      <c r="D17" s="125"/>
      <c r="E17" s="126"/>
      <c r="F17" s="126"/>
      <c r="G17" s="127"/>
      <c r="H17" s="125"/>
      <c r="I17" s="126"/>
      <c r="J17" s="126"/>
      <c r="K17" s="127"/>
      <c r="L17" s="125"/>
      <c r="M17" s="126"/>
      <c r="N17" s="126"/>
      <c r="O17" s="127"/>
      <c r="P17" s="125"/>
      <c r="Q17" s="126"/>
      <c r="R17" s="126"/>
      <c r="S17" s="127"/>
      <c r="T17" s="125"/>
      <c r="U17" s="126"/>
      <c r="V17" s="126"/>
      <c r="W17" s="127"/>
      <c r="X17" s="125">
        <v>0</v>
      </c>
      <c r="Y17" s="126"/>
      <c r="Z17" s="126"/>
      <c r="AA17" s="127"/>
    </row>
    <row r="18" spans="2:27" s="7" customFormat="1" ht="15.75" x14ac:dyDescent="0.2">
      <c r="B18" s="6" t="s">
        <v>29</v>
      </c>
      <c r="C18" s="5" t="s">
        <v>30</v>
      </c>
      <c r="D18" s="125"/>
      <c r="E18" s="126"/>
      <c r="F18" s="126"/>
      <c r="G18" s="127"/>
      <c r="H18" s="125">
        <f>20000*35%</f>
        <v>7000</v>
      </c>
      <c r="I18" s="126"/>
      <c r="J18" s="126"/>
      <c r="K18" s="127"/>
      <c r="L18" s="125">
        <f>13000/4</f>
        <v>3250</v>
      </c>
      <c r="M18" s="126"/>
      <c r="N18" s="126"/>
      <c r="O18" s="127"/>
      <c r="P18" s="125">
        <f>13000/4</f>
        <v>3250</v>
      </c>
      <c r="Q18" s="126"/>
      <c r="R18" s="126"/>
      <c r="S18" s="127"/>
      <c r="T18" s="125">
        <f>13000/4</f>
        <v>3250</v>
      </c>
      <c r="U18" s="126"/>
      <c r="V18" s="126"/>
      <c r="W18" s="127"/>
      <c r="X18" s="125">
        <f>13000/4</f>
        <v>3250</v>
      </c>
      <c r="Y18" s="126"/>
      <c r="Z18" s="126"/>
      <c r="AA18" s="127"/>
    </row>
  </sheetData>
  <mergeCells count="73">
    <mergeCell ref="T18:W18"/>
    <mergeCell ref="X18:AA18"/>
    <mergeCell ref="D18:G18"/>
    <mergeCell ref="H18:K18"/>
    <mergeCell ref="L18:O18"/>
    <mergeCell ref="P18:S18"/>
    <mergeCell ref="X16:AA16"/>
    <mergeCell ref="D17:G17"/>
    <mergeCell ref="H17:K17"/>
    <mergeCell ref="L17:O17"/>
    <mergeCell ref="P17:S17"/>
    <mergeCell ref="T17:W17"/>
    <mergeCell ref="X17:AA17"/>
    <mergeCell ref="D16:G16"/>
    <mergeCell ref="H16:K16"/>
    <mergeCell ref="L16:O16"/>
    <mergeCell ref="P16:S16"/>
    <mergeCell ref="T16:W16"/>
    <mergeCell ref="X15:AA15"/>
    <mergeCell ref="D14:G14"/>
    <mergeCell ref="H14:K14"/>
    <mergeCell ref="L14:O14"/>
    <mergeCell ref="P14:S14"/>
    <mergeCell ref="T14:W14"/>
    <mergeCell ref="D15:G15"/>
    <mergeCell ref="H15:K15"/>
    <mergeCell ref="L15:O15"/>
    <mergeCell ref="P15:S15"/>
    <mergeCell ref="T15:W15"/>
    <mergeCell ref="D13:G13"/>
    <mergeCell ref="H13:K13"/>
    <mergeCell ref="L13:O13"/>
    <mergeCell ref="P13:S13"/>
    <mergeCell ref="X14:AA14"/>
    <mergeCell ref="T13:W13"/>
    <mergeCell ref="X13:AA13"/>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L10:O10"/>
    <mergeCell ref="L9:O9"/>
    <mergeCell ref="T8:W8"/>
    <mergeCell ref="X8:AA8"/>
    <mergeCell ref="L8:O8"/>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s>
  <phoneticPr fontId="11"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3</vt:i4>
      </vt:variant>
    </vt:vector>
  </HeadingPairs>
  <TitlesOfParts>
    <vt:vector size="10" baseType="lpstr">
      <vt:lpstr>Project Charter</vt:lpstr>
      <vt:lpstr>WBS-MACRO-ATIVIDADE</vt:lpstr>
      <vt:lpstr>WBS_Detalhado (ordem etapas)</vt:lpstr>
      <vt:lpstr>WBS_Detalhado (ordem depend)</vt:lpstr>
      <vt:lpstr>Gráfico de Gantt</vt:lpstr>
      <vt:lpstr>PV_dependência</vt:lpstr>
      <vt:lpstr>Cronograma_de_Custos (2)</vt:lpstr>
      <vt:lpstr>'Cronograma_de_Custos (2)'!Area_de_impressao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Vinícius Brandão Fortini</cp:lastModifiedBy>
  <cp:lastPrinted>2024-08-29T21:33:37Z</cp:lastPrinted>
  <dcterms:created xsi:type="dcterms:W3CDTF">2009-09-10T00:53:44Z</dcterms:created>
  <dcterms:modified xsi:type="dcterms:W3CDTF">2025-03-10T22:35:57Z</dcterms:modified>
</cp:coreProperties>
</file>